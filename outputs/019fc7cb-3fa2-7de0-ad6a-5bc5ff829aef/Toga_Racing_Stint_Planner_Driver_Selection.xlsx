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e37116c6b546c8" /></Relationships>
</file>

<file path=xl/workbook.xml><?xml version="1.0" encoding="utf-8"?>
<x:workbook xmlns:x="http://schemas.openxmlformats.org/spreadsheetml/2006/main">
  <x:sheets>
    <x:sheet xmlns:r="http://schemas.openxmlformats.org/officeDocument/2006/relationships" name="Stint Planner" sheetId="1" r:id="R8bc805b18e7942ea"/>
    <x:sheet xmlns:r="http://schemas.openxmlformats.org/officeDocument/2006/relationships" name="Team &amp; Settings" sheetId="2" r:id="Ra9203524ee5242d2"/>
    <x:sheet xmlns:r="http://schemas.openxmlformats.org/officeDocument/2006/relationships" name="Car Data" sheetId="3" r:id="R5fb1a852ccb24540"/>
    <x:sheet xmlns:r="http://schemas.openxmlformats.org/officeDocument/2006/relationships" name="Quick Guide" sheetId="4" r:id="Rb1978cf28c074bd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 mmm yyyy"/>
    <x:numFmt numFmtId="201" formatCode="hh:mm"/>
    <x:numFmt numFmtId="202" formatCode="0.0"/>
    <x:numFmt numFmtId="203" formatCode="ddd dd mmm yyyy hh:mm"/>
    <x:numFmt numFmtId="204" formatCode="0"/>
    <x:numFmt numFmtId="205" formatCode="ddd dd mmm hh:mm"/>
  </x:numFmts>
  <x:fonts count="18">
    <x:font>
      <x:sz val="11"/>
      <x:name val="Carlito"/>
    </x:font>
    <x:font>
      <x:b/>
      <x:sz val="18"/>
      <x:color rgb="FFFFFFFF"/>
      <x:name val="Carlito"/>
    </x:font>
    <x:font>
      <x:i/>
      <x:sz val="11"/>
      <x:color rgb="FF182230"/>
      <x:name val="Carlito"/>
    </x:font>
    <x:font>
      <x:b/>
      <x:sz val="11"/>
      <x:color rgb="FF172033"/>
      <x:name val="Carlito"/>
    </x:font>
    <x:font>
      <x:b/>
      <x:sz val="11"/>
      <x:color rgb="FF182230"/>
      <x:name val="Carlito"/>
    </x:font>
    <x:font>
      <x:sz val="11"/>
      <x:color rgb="FF182230"/>
      <x:name val="Carlito"/>
    </x:font>
    <x:font>
      <x:b/>
      <x:sz val="11"/>
      <x:color rgb="FFFFFFFF"/>
      <x:name val="Carlito"/>
    </x:font>
    <x:font>
      <x:b/>
      <x:sz val="18"/>
      <x:color rgb="FFFFFFFF"/>
      <x:name val="Aptos"/>
    </x:font>
    <x:font>
      <x:i/>
      <x:sz val="11"/>
      <x:color rgb="FF182230"/>
      <x:name val="Aptos"/>
    </x:font>
    <x:font>
      <x:sz val="11"/>
      <x:name val="Aptos"/>
    </x:font>
    <x:font>
      <x:b/>
      <x:sz val="11"/>
      <x:color rgb="FF172033"/>
      <x:name val="Aptos"/>
    </x:font>
    <x:font>
      <x:b/>
      <x:sz val="11"/>
      <x:color rgb="FF182230"/>
      <x:name val="Aptos"/>
    </x:font>
    <x:font>
      <x:sz val="11"/>
      <x:color rgb="FF182230"/>
      <x:name val="Aptos"/>
    </x:font>
    <x:font>
      <x:b/>
      <x:sz val="11"/>
      <x:color rgb="FFFFFFFF"/>
      <x:name val="Aptos"/>
    </x:font>
    <x:font>
      <x:b/>
      <x:sz val="16"/>
      <x:color rgb="FFFFFFFF"/>
      <x:name val="Carlito"/>
    </x:font>
    <x:font>
      <x:i/>
      <x:sz val="11"/>
      <x:color rgb="FF5C6773"/>
      <x:name val="Carlito"/>
    </x:font>
    <x:font>
      <x:b/>
      <x:sz val="16"/>
      <x:color rgb="FFFFFFFF"/>
      <x:name val="Aptos"/>
    </x:font>
    <x:font>
      <x:i/>
      <x:sz val="11"/>
      <x:color rgb="FF5C6773"/>
      <x:name val="Aptos"/>
    </x:font>
  </x:fonts>
  <x:fills count="13">
    <x:fill>
      <x:patternFill patternType="none"/>
    </x:fill>
    <x:fill>
      <x:patternFill patternType="gray125"/>
    </x:fill>
    <x:fill>
      <x:patternFill patternType="solid">
        <x:fgColor rgb="FF172033"/>
      </x:patternFill>
    </x:fill>
    <x:fill>
      <x:patternFill patternType="solid">
        <x:fgColor rgb="FFDCE6F1"/>
      </x:patternFill>
    </x:fill>
    <x:fill>
      <x:patternFill patternType="solid">
        <x:fgColor rgb="FF25C2D8"/>
      </x:patternFill>
    </x:fill>
    <x:fill>
      <x:patternFill patternType="solid">
        <x:fgColor rgb="FFF3F6FA"/>
      </x:patternFill>
    </x:fill>
    <x:fill>
      <x:patternFill patternType="solid">
        <x:fgColor rgb="FFFFF2CC"/>
      </x:patternFill>
    </x:fill>
    <x:fill>
      <x:patternFill patternType="solid">
        <x:fgColor rgb="FFE2F0D9"/>
      </x:patternFill>
    </x:fill>
    <x:fill>
      <x:patternFill patternType="solid">
        <x:fgColor rgb="FFF4B183"/>
      </x:patternFill>
    </x:fill>
    <x:fill>
      <x:patternFill patternType="solid">
        <x:fgColor rgb="FFFFF4E5"/>
      </x:patternFill>
    </x:fill>
    <x:fill>
      <x:patternFill patternType="solid">
        <x:fgColor rgb="FFFFFFFF"/>
      </x:patternFill>
    </x:fill>
    <x:fill>
      <x:patternFill patternType="solid">
        <x:fgColor rgb="FFE8F4FA"/>
      </x:patternFill>
    </x:fill>
    <x:fill>
      <x:patternFill patternType="solid">
        <x:fgColor rgb="FFF4E9FF"/>
      </x:patternFill>
    </x:fill>
  </x:fills>
  <x:borders count="19">
    <x:border/>
    <x:border>
      <x:left style="thin">
        <x:color rgb="FFC7D0DA"/>
      </x:left>
      <x:right style="thin">
        <x:color rgb="FFC7D0DA"/>
      </x:right>
      <x:top style="thin">
        <x:color rgb="FFC7D0DA"/>
      </x:top>
    </x:border>
    <x:border>
      <x:left style="thin">
        <x:color rgb="FFC7D0DA"/>
      </x:left>
      <x:right style="thin">
        <x:color rgb="FFC7D0DA"/>
      </x:right>
    </x:border>
    <x:border>
      <x:left style="thin">
        <x:color rgb="FFC7D0DA"/>
      </x:left>
      <x:right style="thin">
        <x:color rgb="FFC7D0DA"/>
      </x:right>
      <x:bottom style="thin">
        <x:color rgb="FFC7D0DA"/>
      </x:bottom>
    </x:border>
    <x:border>
      <x:left style="thin">
        <x:color rgb="FFE6B566"/>
      </x:left>
      <x:top style="thin">
        <x:color rgb="FFE6B566"/>
      </x:top>
    </x:border>
    <x:border>
      <x:top style="thin">
        <x:color rgb="FFE6B566"/>
      </x:top>
    </x:border>
    <x:border>
      <x:right style="thin">
        <x:color rgb="FFE6B566"/>
      </x:right>
      <x:top style="thin">
        <x:color rgb="FFE6B566"/>
      </x:top>
    </x:border>
    <x:border>
      <x:left style="thin">
        <x:color rgb="FFE6B566"/>
      </x:left>
    </x:border>
    <x:border>
      <x:right style="thin">
        <x:color rgb="FFE6B566"/>
      </x:right>
    </x:border>
    <x:border>
      <x:left style="thin">
        <x:color rgb="FFE6B566"/>
      </x:left>
      <x:bottom style="thin">
        <x:color rgb="FFE6B566"/>
      </x:bottom>
    </x:border>
    <x:border>
      <x:bottom style="thin">
        <x:color rgb="FFE6B566"/>
      </x:bottom>
    </x:border>
    <x:border>
      <x:right style="thin">
        <x:color rgb="FFE6B566"/>
      </x:right>
      <x:bottom style="thin">
        <x:color rgb="FFE6B566"/>
      </x:bottom>
    </x:border>
    <x:border>
      <x:right style="thin">
        <x:color rgb="FFC7D0DA"/>
      </x:right>
      <x:bottom style="thin">
        <x:color rgb="FFC7D0DA"/>
      </x:bottom>
    </x:border>
    <x:border>
      <x:left style="thin">
        <x:color rgb="FFC7D0DA"/>
      </x:left>
      <x:bottom style="thin">
        <x:color rgb="FFC7D0DA"/>
      </x:bottom>
    </x:border>
    <x:border>
      <x:right style="thin">
        <x:color rgb="FFC7D0DA"/>
      </x:right>
      <x:top style="thin">
        <x:color rgb="FFC7D0DA"/>
      </x:top>
      <x:bottom style="thin">
        <x:color rgb="FFC7D0DA"/>
      </x:bottom>
    </x:border>
    <x:border>
      <x:left style="thin">
        <x:color rgb="FFC7D0DA"/>
      </x:left>
      <x:right style="thin">
        <x:color rgb="FFC7D0DA"/>
      </x:right>
      <x:top style="thin">
        <x:color rgb="FFC7D0DA"/>
      </x:top>
      <x:bottom style="thin">
        <x:color rgb="FFC7D0DA"/>
      </x:bottom>
    </x:border>
    <x:border>
      <x:left style="thin">
        <x:color rgb="FFC7D0DA"/>
      </x:left>
      <x:top style="thin">
        <x:color rgb="FFC7D0DA"/>
      </x:top>
      <x:bottom style="thin">
        <x:color rgb="FFC7D0DA"/>
      </x:bottom>
    </x:border>
    <x:border>
      <x:right style="thin">
        <x:color rgb="FFC7D0DA"/>
      </x:right>
      <x:top style="thin">
        <x:color rgb="FFC7D0DA"/>
      </x:top>
    </x:border>
    <x:border>
      <x:left style="thin">
        <x:color rgb="FFC7D0DA"/>
      </x:left>
      <x:top style="thin">
        <x:color rgb="FFC7D0DA"/>
      </x:top>
    </x:border>
  </x:borders>
  <x:cellStyleXfs count="1">
    <x:xf numFmtId="0" fontId="0" fillId="0" borderId="0"/>
  </x:cellStyleXfs>
  <x:cellXfs count="2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7" borderId="2" xfId="0" applyNumberFormat="1" applyFont="1" applyFill="1" applyBorder="1"/>
    <x:xf numFmtId="200" fontId="5" fillId="6" borderId="2" xfId="0" applyNumberFormat="1" applyFont="1" applyFill="1" applyBorder="1"/>
    <x:xf numFmtId="201" fontId="5" fillId="6" borderId="2" xfId="0" applyNumberFormat="1" applyFont="1" applyFill="1" applyBorder="1"/>
    <x:xf numFmtId="202" fontId="5" fillId="7" borderId="2" xfId="0" applyNumberFormat="1" applyFont="1" applyFill="1" applyBorder="1"/>
    <x:xf numFmtId="202" fontId="5" fillId="6" borderId="2" xfId="0" applyNumberFormat="1" applyFont="1" applyFill="1" applyBorder="1"/>
    <x:xf numFmtId="202" fontId="5" fillId="6" borderId="3"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3" xfId="0" applyNumberFormat="1" applyFont="1" applyFill="1" applyBorder="1"/>
    <x:xf numFmtId="203" fontId="5" fillId="7" borderId="1" xfId="0" applyNumberFormat="1" applyFont="1" applyFill="1" applyBorder="1"/>
    <x:xf numFmtId="203" fontId="5" fillId="7" borderId="2" xfId="0" applyNumberFormat="1" applyFont="1" applyFill="1" applyBorder="1"/>
    <x:xf numFmtId="202" fontId="5" fillId="7" borderId="3" xfId="0" applyNumberFormat="1" applyFont="1" applyFill="1" applyBorder="1"/>
    <x:xf numFmtId="204" fontId="5" fillId="7" borderId="2"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4" xfId="0" applyNumberFormat="1" applyFont="1" applyFill="1" applyBorder="1"/>
    <x:xf numFmtId="0" fontId="5" fillId="9" borderId="5" xfId="0" applyNumberFormat="1" applyFont="1" applyFill="1" applyBorder="1"/>
    <x:xf numFmtId="0" fontId="5" fillId="9" borderId="6" xfId="0" applyNumberFormat="1" applyFont="1" applyFill="1" applyBorder="1"/>
    <x:xf numFmtId="0" fontId="5" fillId="9" borderId="7" xfId="0" applyNumberFormat="1" applyFont="1" applyFill="1" applyBorder="1"/>
    <x:xf numFmtId="0" fontId="5" fillId="9" borderId="8" xfId="0" applyNumberFormat="1" applyFont="1" applyFill="1" applyBorder="1"/>
    <x:xf numFmtId="0" fontId="5" fillId="9" borderId="9" xfId="0" applyNumberFormat="1" applyFont="1" applyFill="1" applyBorder="1"/>
    <x:xf numFmtId="0" fontId="5" fillId="9" borderId="10" xfId="0" applyNumberFormat="1" applyFont="1" applyFill="1" applyBorder="1"/>
    <x:xf numFmtId="0" fontId="5" fillId="9" borderId="11" xfId="0" applyNumberFormat="1" applyFont="1" applyFill="1" applyBorder="1"/>
    <x:xf numFmtId="0" fontId="5" fillId="9" borderId="4" xfId="0" applyNumberFormat="1" applyFont="1" applyFill="1" applyBorder="1" applyAlignment="1">
      <x:alignment wrapText="1"/>
    </x:xf>
    <x:xf numFmtId="0" fontId="5" fillId="9" borderId="5" xfId="0" applyNumberFormat="1" applyFont="1" applyFill="1" applyBorder="1" applyAlignment="1">
      <x:alignment wrapText="1"/>
    </x:xf>
    <x:xf numFmtId="0" fontId="5" fillId="9" borderId="6" xfId="0" applyNumberFormat="1" applyFont="1" applyFill="1" applyBorder="1" applyAlignment="1">
      <x:alignment wrapText="1"/>
    </x:xf>
    <x:xf numFmtId="0" fontId="5" fillId="9" borderId="7"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8" xfId="0" applyNumberFormat="1" applyFont="1" applyFill="1" applyBorder="1" applyAlignment="1">
      <x:alignment wrapText="1"/>
    </x:xf>
    <x:xf numFmtId="0" fontId="5" fillId="9" borderId="9" xfId="0" applyNumberFormat="1" applyFont="1" applyFill="1" applyBorder="1" applyAlignment="1">
      <x:alignment wrapText="1"/>
    </x:xf>
    <x:xf numFmtId="0" fontId="5" fillId="9" borderId="10" xfId="0" applyNumberFormat="1" applyFont="1" applyFill="1" applyBorder="1" applyAlignment="1">
      <x:alignment wrapText="1"/>
    </x:xf>
    <x:xf numFmtId="0" fontId="5" fillId="9" borderId="11" xfId="0" applyNumberFormat="1" applyFont="1" applyFill="1" applyBorder="1" applyAlignment="1">
      <x:alignment wrapText="1"/>
    </x:xf>
    <x:xf numFmtId="0" fontId="5" fillId="9" borderId="4"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5" fillId="9" borderId="6" xfId="0" applyNumberFormat="1" applyFont="1" applyFill="1" applyBorder="1" applyAlignment="1">
      <x:alignment vertical="top" wrapText="1"/>
    </x:xf>
    <x:xf numFmtId="0" fontId="5" fillId="9" borderId="7"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8" xfId="0" applyNumberFormat="1" applyFont="1" applyFill="1" applyBorder="1" applyAlignment="1">
      <x:alignment vertical="top" wrapText="1"/>
    </x:xf>
    <x:xf numFmtId="0" fontId="5" fillId="9" borderId="9" xfId="0" applyNumberFormat="1" applyFont="1" applyFill="1" applyBorder="1" applyAlignment="1">
      <x:alignment vertical="top" wrapText="1"/>
    </x:xf>
    <x:xf numFmtId="0" fontId="5" fillId="9" borderId="10" xfId="0" applyNumberFormat="1" applyFont="1" applyFill="1" applyBorder="1" applyAlignment="1">
      <x:alignment vertical="top" wrapText="1"/>
    </x:xf>
    <x:xf numFmtId="0" fontId="5" fillId="9" borderId="11" xfId="0" applyNumberFormat="1" applyFont="1" applyFill="1" applyBorder="1" applyAlignment="1">
      <x:alignment vertical="top" wrapText="1"/>
    </x:xf>
    <x:xf numFmtId="0" fontId="6" fillId="2" borderId="0" xfId="0" applyNumberFormat="1" applyFont="1" applyFill="1" applyBorder="1"/>
    <x:xf numFmtId="0" fontId="0" fillId="10" borderId="0" xfId="0" applyNumberFormat="1" applyFont="1" applyFill="1" applyBorder="1"/>
    <x:xf numFmtId="0" fontId="0" fillId="10" borderId="12" xfId="0" applyNumberFormat="1" applyFont="1" applyFill="1" applyBorder="1"/>
    <x:xf numFmtId="0" fontId="0" fillId="10" borderId="3" xfId="0" applyNumberFormat="1" applyFont="1" applyFill="1" applyBorder="1"/>
    <x:xf numFmtId="0" fontId="0" fillId="10" borderId="13" xfId="0" applyNumberFormat="1" applyFont="1" applyFill="1" applyBorder="1"/>
    <x:xf numFmtId="0" fontId="0" fillId="10" borderId="14" xfId="0" applyNumberFormat="1" applyFont="1" applyFill="1" applyBorder="1"/>
    <x:xf numFmtId="0" fontId="0" fillId="10" borderId="15" xfId="0" applyNumberFormat="1" applyFont="1" applyFill="1" applyBorder="1"/>
    <x:xf numFmtId="0" fontId="0" fillId="10" borderId="16" xfId="0" applyNumberFormat="1" applyFont="1" applyFill="1" applyBorder="1"/>
    <x:xf numFmtId="0" fontId="0" fillId="10" borderId="17" xfId="0" applyNumberFormat="1" applyFont="1" applyFill="1" applyBorder="1"/>
    <x:xf numFmtId="0" fontId="0" fillId="10" borderId="1" xfId="0" applyNumberFormat="1" applyFont="1" applyFill="1" applyBorder="1"/>
    <x:xf numFmtId="0" fontId="0" fillId="10" borderId="18" xfId="0" applyNumberFormat="1" applyFont="1" applyFill="1" applyBorder="1"/>
    <x:xf numFmtId="204" fontId="0" fillId="10" borderId="3" xfId="0" applyNumberFormat="1" applyFont="1" applyFill="1" applyBorder="1"/>
    <x:xf numFmtId="204" fontId="0" fillId="10" borderId="15" xfId="0" applyNumberFormat="1" applyFont="1" applyFill="1" applyBorder="1"/>
    <x:xf numFmtId="204" fontId="0" fillId="10" borderId="1" xfId="0" applyNumberFormat="1" applyFont="1" applyFill="1" applyBorder="1"/>
    <x:xf numFmtId="202" fontId="0" fillId="10" borderId="3" xfId="0" applyNumberFormat="1" applyFont="1" applyFill="1" applyBorder="1"/>
    <x:xf numFmtId="202" fontId="0" fillId="10" borderId="15" xfId="0" applyNumberFormat="1" applyFont="1" applyFill="1" applyBorder="1"/>
    <x:xf numFmtId="202" fontId="0" fillId="10" borderId="1" xfId="0" applyNumberFormat="1" applyFont="1" applyFill="1" applyBorder="1"/>
    <x:xf numFmtId="204" fontId="0" fillId="10" borderId="13" xfId="0" applyNumberFormat="1" applyFont="1" applyFill="1" applyBorder="1"/>
    <x:xf numFmtId="204" fontId="0" fillId="10" borderId="16" xfId="0" applyNumberFormat="1" applyFont="1" applyFill="1" applyBorder="1"/>
    <x:xf numFmtId="204" fontId="0" fillId="10" borderId="18"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0" fillId="0" borderId="12" xfId="0" applyNumberFormat="1" applyFont="1" applyFill="1" applyBorder="1"/>
    <x:xf numFmtId="0" fontId="0" fillId="0" borderId="3"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 xfId="0" applyNumberFormat="1" applyFont="1" applyFill="1" applyBorder="1"/>
    <x:xf numFmtId="0" fontId="0" fillId="0" borderId="18" xfId="0" applyNumberFormat="1" applyFont="1" applyFill="1" applyBorder="1"/>
    <x:xf numFmtId="0" fontId="0" fillId="0" borderId="1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13"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18" xfId="0" applyNumberFormat="1" applyFont="1" applyFill="1" applyBorder="1" applyAlignment="1">
      <x:alignment vertical="center"/>
    </x:xf>
    <x:xf numFmtId="0" fontId="0" fillId="6" borderId="3" xfId="0" applyNumberFormat="1" applyFont="1" applyFill="1" applyBorder="1" applyAlignment="1">
      <x:alignment vertical="center"/>
    </x:xf>
    <x:xf numFmtId="0" fontId="0" fillId="6" borderId="15" xfId="0" applyNumberFormat="1" applyFont="1" applyFill="1" applyBorder="1" applyAlignment="1">
      <x:alignment vertical="center"/>
    </x:xf>
    <x:xf numFmtId="0" fontId="0" fillId="6" borderId="1" xfId="0" applyNumberFormat="1" applyFont="1" applyFill="1" applyBorder="1" applyAlignment="1">
      <x:alignment vertical="center"/>
    </x:xf>
    <x:xf numFmtId="0" fontId="0" fillId="6" borderId="13" xfId="0" applyNumberFormat="1" applyFont="1" applyFill="1" applyBorder="1" applyAlignment="1">
      <x:alignment vertical="center"/>
    </x:xf>
    <x:xf numFmtId="0" fontId="0" fillId="6" borderId="16" xfId="0" applyNumberFormat="1" applyFont="1" applyFill="1" applyBorder="1" applyAlignment="1">
      <x:alignment vertical="center"/>
    </x:xf>
    <x:xf numFmtId="0" fontId="0" fillId="6" borderId="18" xfId="0" applyNumberFormat="1" applyFont="1" applyFill="1" applyBorder="1" applyAlignment="1">
      <x:alignment vertical="center"/>
    </x:xf>
    <x:xf numFmtId="0" fontId="0" fillId="7" borderId="3" xfId="0" applyNumberFormat="1" applyFont="1" applyFill="1" applyBorder="1" applyAlignment="1">
      <x:alignment vertical="center"/>
    </x:xf>
    <x:xf numFmtId="0" fontId="0" fillId="7" borderId="15" xfId="0" applyNumberFormat="1" applyFont="1" applyFill="1" applyBorder="1" applyAlignment="1">
      <x:alignment vertical="center"/>
    </x:xf>
    <x:xf numFmtId="0" fontId="0" fillId="7" borderId="1" xfId="0" applyNumberFormat="1" applyFont="1" applyFill="1" applyBorder="1" applyAlignment="1">
      <x:alignment vertical="center"/>
    </x:xf>
    <x:xf numFmtId="205" fontId="0" fillId="7" borderId="3" xfId="0" applyNumberFormat="1" applyFont="1" applyFill="1" applyBorder="1" applyAlignment="1">
      <x:alignment vertical="center"/>
    </x:xf>
    <x:xf numFmtId="205" fontId="0" fillId="7" borderId="15" xfId="0" applyNumberFormat="1" applyFont="1" applyFill="1" applyBorder="1" applyAlignment="1">
      <x:alignment vertical="center"/>
    </x:xf>
    <x:xf numFmtId="205" fontId="0" fillId="7" borderId="1" xfId="0" applyNumberFormat="1" applyFont="1" applyFill="1" applyBorder="1" applyAlignment="1">
      <x:alignment vertical="center"/>
    </x:xf>
    <x:xf numFmtId="202" fontId="0" fillId="7" borderId="3" xfId="0" applyNumberFormat="1" applyFont="1" applyFill="1" applyBorder="1" applyAlignment="1">
      <x:alignment vertical="center"/>
    </x:xf>
    <x:xf numFmtId="202" fontId="0" fillId="7" borderId="15" xfId="0" applyNumberFormat="1" applyFont="1" applyFill="1" applyBorder="1" applyAlignment="1">
      <x:alignment vertical="center"/>
    </x:xf>
    <x:xf numFmtId="202" fontId="0" fillId="7" borderId="1" xfId="0" applyNumberFormat="1" applyFont="1" applyFill="1" applyBorder="1" applyAlignment="1">
      <x:alignment vertical="center"/>
    </x:xf>
    <x:xf numFmtId="204" fontId="0" fillId="7" borderId="3" xfId="0" applyNumberFormat="1" applyFont="1" applyFill="1" applyBorder="1" applyAlignment="1">
      <x:alignment vertical="center"/>
    </x:xf>
    <x:xf numFmtId="204" fontId="0" fillId="7" borderId="15" xfId="0" applyNumberFormat="1" applyFont="1" applyFill="1" applyBorder="1" applyAlignment="1">
      <x:alignment vertical="center"/>
    </x:xf>
    <x:xf numFmtId="204" fontId="0" fillId="7" borderId="1" xfId="0" applyNumberFormat="1" applyFont="1" applyFill="1" applyBorder="1" applyAlignment="1">
      <x:alignment vertical="center"/>
    </x:xf>
    <x:xf numFmtId="0" fontId="3" fillId="0" borderId="12" xfId="0" applyNumberFormat="1" applyFont="1" applyFill="1" applyBorder="1" applyAlignment="1">
      <x:alignment vertical="center"/>
    </x:xf>
    <x:xf numFmtId="0" fontId="3" fillId="0" borderId="14" xfId="0" applyNumberFormat="1" applyFont="1" applyFill="1" applyBorder="1" applyAlignment="1">
      <x:alignment vertical="center"/>
    </x:xf>
    <x:xf numFmtId="0" fontId="3" fillId="0" borderId="17" xfId="0" applyNumberFormat="1" applyFont="1" applyFill="1" applyBorder="1" applyAlignment="1">
      <x:alignment vertical="center"/>
    </x:xf>
    <x:xf numFmtId="0" fontId="3" fillId="0" borderId="12"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7" xfId="0" applyNumberFormat="1" applyFont="1" applyFill="1" applyBorder="1" applyAlignment="1">
      <x:alignment horizontal="center" vertical="center"/>
    </x:xf>
    <x:xf numFmtId="0" fontId="7" fillId="2"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9" fillId="0" borderId="0" xfId="0" applyNumberFormat="1" applyFont="1" applyFill="1" applyBorder="1"/>
    <x:xf numFmtId="0" fontId="10" fillId="4" borderId="0" xfId="0" applyNumberFormat="1" applyFont="1" applyFill="1" applyBorder="1"/>
    <x:xf numFmtId="0" fontId="10" fillId="8" borderId="0" xfId="0" applyNumberFormat="1" applyFont="1" applyFill="1" applyBorder="1"/>
    <x:xf numFmtId="0" fontId="11" fillId="5" borderId="0" xfId="0" applyNumberFormat="1" applyFont="1" applyFill="1" applyBorder="1"/>
    <x:xf numFmtId="0" fontId="12" fillId="6" borderId="1" xfId="0" applyNumberFormat="1" applyFont="1" applyFill="1" applyBorder="1"/>
    <x:xf numFmtId="203" fontId="12" fillId="7" borderId="1" xfId="0" applyNumberFormat="1" applyFont="1" applyFill="1" applyBorder="1"/>
    <x:xf numFmtId="0" fontId="12" fillId="9" borderId="4" xfId="0" applyNumberFormat="1" applyFont="1" applyFill="1" applyBorder="1" applyAlignment="1">
      <x:alignment vertical="top" wrapText="1"/>
    </x:xf>
    <x:xf numFmtId="0" fontId="12" fillId="9" borderId="5" xfId="0" applyNumberFormat="1" applyFont="1" applyFill="1" applyBorder="1" applyAlignment="1">
      <x:alignment vertical="top" wrapText="1"/>
    </x:xf>
    <x:xf numFmtId="0" fontId="12" fillId="9" borderId="6" xfId="0" applyNumberFormat="1" applyFont="1" applyFill="1" applyBorder="1" applyAlignment="1">
      <x:alignment vertical="top" wrapText="1"/>
    </x:xf>
    <x:xf numFmtId="0" fontId="12" fillId="6" borderId="2" xfId="0" applyNumberFormat="1" applyFont="1" applyFill="1" applyBorder="1"/>
    <x:xf numFmtId="203" fontId="12" fillId="7" borderId="2" xfId="0" applyNumberFormat="1" applyFont="1" applyFill="1" applyBorder="1"/>
    <x:xf numFmtId="0" fontId="12" fillId="9" borderId="7" xfId="0" applyNumberFormat="1" applyFont="1" applyFill="1" applyBorder="1" applyAlignment="1">
      <x:alignment vertical="top" wrapText="1"/>
    </x:xf>
    <x:xf numFmtId="0" fontId="12" fillId="9" borderId="0" xfId="0" applyNumberFormat="1" applyFont="1" applyFill="1" applyBorder="1" applyAlignment="1">
      <x:alignment vertical="top" wrapText="1"/>
    </x:xf>
    <x:xf numFmtId="0" fontId="12" fillId="9" borderId="8" xfId="0" applyNumberFormat="1" applyFont="1" applyFill="1" applyBorder="1" applyAlignment="1">
      <x:alignment vertical="top" wrapText="1"/>
    </x:xf>
    <x:xf numFmtId="202" fontId="12" fillId="7" borderId="2" xfId="0" applyNumberFormat="1" applyFont="1" applyFill="1" applyBorder="1"/>
    <x:xf numFmtId="0" fontId="12" fillId="7" borderId="2" xfId="0" applyNumberFormat="1" applyFont="1" applyFill="1" applyBorder="1"/>
    <x:xf numFmtId="204" fontId="12" fillId="7" borderId="2" xfId="0" applyNumberFormat="1" applyFont="1" applyFill="1" applyBorder="1"/>
    <x:xf numFmtId="0" fontId="12" fillId="9" borderId="9" xfId="0" applyNumberFormat="1" applyFont="1" applyFill="1" applyBorder="1" applyAlignment="1">
      <x:alignment vertical="top" wrapText="1"/>
    </x:xf>
    <x:xf numFmtId="0" fontId="12" fillId="9" borderId="10" xfId="0" applyNumberFormat="1" applyFont="1" applyFill="1" applyBorder="1" applyAlignment="1">
      <x:alignment vertical="top" wrapText="1"/>
    </x:xf>
    <x:xf numFmtId="0" fontId="12" fillId="9" borderId="11" xfId="0" applyNumberFormat="1" applyFont="1" applyFill="1" applyBorder="1" applyAlignment="1">
      <x:alignment vertical="top" wrapText="1"/>
    </x:xf>
    <x:xf numFmtId="202" fontId="12" fillId="6" borderId="2" xfId="0" applyNumberFormat="1" applyFont="1" applyFill="1" applyBorder="1"/>
    <x:xf numFmtId="200" fontId="12" fillId="6" borderId="2" xfId="0" applyNumberFormat="1" applyFont="1" applyFill="1" applyBorder="1"/>
    <x:xf numFmtId="0" fontId="13" fillId="2" borderId="0" xfId="0" applyNumberFormat="1" applyFont="1" applyFill="1" applyBorder="1"/>
    <x:xf numFmtId="201" fontId="12" fillId="6" borderId="2" xfId="0" applyNumberFormat="1" applyFont="1" applyFill="1" applyBorder="1"/>
    <x:xf numFmtId="0" fontId="9" fillId="10" borderId="12" xfId="0" applyNumberFormat="1" applyFont="1" applyFill="1" applyBorder="1"/>
    <x:xf numFmtId="204" fontId="9" fillId="10" borderId="3" xfId="0" applyNumberFormat="1" applyFont="1" applyFill="1" applyBorder="1"/>
    <x:xf numFmtId="202" fontId="9" fillId="10" borderId="3" xfId="0" applyNumberFormat="1" applyFont="1" applyFill="1" applyBorder="1"/>
    <x:xf numFmtId="204" fontId="9" fillId="10" borderId="13" xfId="0" applyNumberFormat="1" applyFont="1" applyFill="1" applyBorder="1"/>
    <x:xf numFmtId="0" fontId="9" fillId="10" borderId="14" xfId="0" applyNumberFormat="1" applyFont="1" applyFill="1" applyBorder="1"/>
    <x:xf numFmtId="204" fontId="9" fillId="10" borderId="15" xfId="0" applyNumberFormat="1" applyFont="1" applyFill="1" applyBorder="1"/>
    <x:xf numFmtId="202" fontId="9" fillId="10" borderId="15" xfId="0" applyNumberFormat="1" applyFont="1" applyFill="1" applyBorder="1"/>
    <x:xf numFmtId="204" fontId="9" fillId="10" borderId="16" xfId="0" applyNumberFormat="1" applyFont="1" applyFill="1" applyBorder="1"/>
    <x:xf numFmtId="202" fontId="12" fillId="7" borderId="3" xfId="0" applyNumberFormat="1" applyFont="1" applyFill="1" applyBorder="1"/>
    <x:xf numFmtId="202" fontId="12" fillId="6" borderId="3" xfId="0" applyNumberFormat="1" applyFont="1" applyFill="1" applyBorder="1"/>
    <x:xf numFmtId="0" fontId="9" fillId="10" borderId="17" xfId="0" applyNumberFormat="1" applyFont="1" applyFill="1" applyBorder="1"/>
    <x:xf numFmtId="204" fontId="9" fillId="10" borderId="1" xfId="0" applyNumberFormat="1" applyFont="1" applyFill="1" applyBorder="1"/>
    <x:xf numFmtId="202" fontId="9" fillId="10" borderId="1" xfId="0" applyNumberFormat="1" applyFont="1" applyFill="1" applyBorder="1"/>
    <x:xf numFmtId="204" fontId="9" fillId="10" borderId="18" xfId="0" applyNumberFormat="1" applyFont="1" applyFill="1" applyBorder="1"/>
    <x:xf numFmtId="0" fontId="13" fillId="2" borderId="0" xfId="0" applyNumberFormat="1" applyFont="1" applyFill="1" applyBorder="1" applyAlignment="1">
      <x:alignment vertical="center" wrapText="1"/>
    </x:xf>
    <x:xf numFmtId="0" fontId="10" fillId="0" borderId="12" xfId="0" applyNumberFormat="1" applyFont="1" applyFill="1" applyBorder="1" applyAlignment="1">
      <x:alignment horizontal="center" vertical="center"/>
    </x:xf>
    <x:xf numFmtId="0" fontId="9" fillId="6" borderId="3" xfId="0" applyNumberFormat="1" applyFont="1" applyFill="1" applyBorder="1" applyAlignment="1">
      <x:alignment vertical="center"/>
    </x:xf>
    <x:xf numFmtId="205" fontId="9" fillId="7" borderId="3" xfId="0" applyNumberFormat="1" applyFont="1" applyFill="1" applyBorder="1" applyAlignment="1">
      <x:alignment vertical="center"/>
    </x:xf>
    <x:xf numFmtId="202" fontId="9" fillId="7" borderId="3" xfId="0" applyNumberFormat="1" applyFont="1" applyFill="1" applyBorder="1" applyAlignment="1">
      <x:alignment vertical="center"/>
    </x:xf>
    <x:xf numFmtId="204" fontId="9" fillId="7" borderId="3" xfId="0" applyNumberFormat="1" applyFont="1" applyFill="1" applyBorder="1" applyAlignment="1">
      <x:alignment vertical="center"/>
    </x:xf>
    <x:xf numFmtId="0" fontId="9" fillId="6" borderId="13" xfId="0" applyNumberFormat="1" applyFont="1" applyFill="1" applyBorder="1" applyAlignment="1">
      <x:alignment vertical="center"/>
    </x:xf>
    <x:xf numFmtId="0" fontId="10" fillId="0" borderId="14" xfId="0" applyNumberFormat="1" applyFont="1" applyFill="1" applyBorder="1" applyAlignment="1">
      <x:alignment horizontal="center" vertical="center"/>
    </x:xf>
    <x:xf numFmtId="0" fontId="9" fillId="6" borderId="15" xfId="0" applyNumberFormat="1" applyFont="1" applyFill="1" applyBorder="1" applyAlignment="1">
      <x:alignment vertical="center"/>
    </x:xf>
    <x:xf numFmtId="205" fontId="9" fillId="7" borderId="15" xfId="0" applyNumberFormat="1" applyFont="1" applyFill="1" applyBorder="1" applyAlignment="1">
      <x:alignment vertical="center"/>
    </x:xf>
    <x:xf numFmtId="202" fontId="9" fillId="7" borderId="15" xfId="0" applyNumberFormat="1" applyFont="1" applyFill="1" applyBorder="1" applyAlignment="1">
      <x:alignment vertical="center"/>
    </x:xf>
    <x:xf numFmtId="204" fontId="9" fillId="7" borderId="15" xfId="0" applyNumberFormat="1" applyFont="1" applyFill="1" applyBorder="1" applyAlignment="1">
      <x:alignment vertical="center"/>
    </x:xf>
    <x:xf numFmtId="0" fontId="9" fillId="6" borderId="16" xfId="0" applyNumberFormat="1" applyFont="1" applyFill="1" applyBorder="1" applyAlignment="1">
      <x:alignment vertical="center"/>
    </x:xf>
    <x:xf numFmtId="0" fontId="10" fillId="0" borderId="17" xfId="0" applyNumberFormat="1" applyFont="1" applyFill="1" applyBorder="1" applyAlignment="1">
      <x:alignment horizontal="center" vertical="center"/>
    </x:xf>
    <x:xf numFmtId="0" fontId="9" fillId="6" borderId="1" xfId="0" applyNumberFormat="1" applyFont="1" applyFill="1" applyBorder="1" applyAlignment="1">
      <x:alignment vertical="center"/>
    </x:xf>
    <x:xf numFmtId="205" fontId="9" fillId="7" borderId="1" xfId="0" applyNumberFormat="1" applyFont="1" applyFill="1" applyBorder="1" applyAlignment="1">
      <x:alignment vertical="center"/>
    </x:xf>
    <x:xf numFmtId="202" fontId="9" fillId="7" borderId="1" xfId="0" applyNumberFormat="1" applyFont="1" applyFill="1" applyBorder="1" applyAlignment="1">
      <x:alignment vertical="center"/>
    </x:xf>
    <x:xf numFmtId="204" fontId="9" fillId="7" borderId="1" xfId="0" applyNumberFormat="1" applyFont="1" applyFill="1" applyBorder="1" applyAlignment="1">
      <x:alignment vertical="center"/>
    </x:xf>
    <x:xf numFmtId="0" fontId="9" fillId="6" borderId="18" xfId="0" applyNumberFormat="1" applyFont="1" applyFill="1" applyBorder="1" applyAlignment="1">
      <x:alignment vertical="center"/>
    </x:xf>
    <x:xf numFmtId="0" fontId="14" fillId="2" borderId="0" xfId="0" applyNumberFormat="1" applyFont="1" applyFill="1" applyBorder="1"/>
    <x:xf numFmtId="0" fontId="0" fillId="6" borderId="13" xfId="0" applyNumberFormat="1" applyFont="1" applyFill="1" applyBorder="1"/>
    <x:xf numFmtId="0" fontId="0" fillId="6" borderId="16" xfId="0" applyNumberFormat="1" applyFont="1" applyFill="1" applyBorder="1"/>
    <x:xf numFmtId="0" fontId="0" fillId="6" borderId="18" xfId="0" applyNumberFormat="1" applyFont="1" applyFill="1" applyBorder="1"/>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6" fillId="2" borderId="0" xfId="0" applyNumberFormat="1" applyFont="1" applyFill="1" applyBorder="1"/>
    <x:xf numFmtId="0" fontId="9" fillId="0" borderId="12" xfId="0" applyNumberFormat="1" applyFont="1" applyFill="1" applyBorder="1"/>
    <x:xf numFmtId="0" fontId="9" fillId="6" borderId="13" xfId="0" applyNumberFormat="1" applyFont="1" applyFill="1" applyBorder="1"/>
    <x:xf numFmtId="0" fontId="9" fillId="0" borderId="14" xfId="0" applyNumberFormat="1" applyFont="1" applyFill="1" applyBorder="1"/>
    <x:xf numFmtId="0" fontId="9" fillId="6" borderId="16" xfId="0" applyNumberFormat="1" applyFont="1" applyFill="1" applyBorder="1"/>
    <x:xf numFmtId="0" fontId="9" fillId="0" borderId="17" xfId="0" applyNumberFormat="1" applyFont="1" applyFill="1" applyBorder="1"/>
    <x:xf numFmtId="0" fontId="9" fillId="6" borderId="18" xfId="0" applyNumberFormat="1" applyFont="1" applyFill="1" applyBorder="1"/>
    <x:xf numFmtId="0" fontId="17" fillId="11" borderId="0" xfId="0" applyNumberFormat="1" applyFont="1" applyFill="1" applyBorder="1" applyAlignment="1">
      <x:alignment wrapText="1"/>
    </x:xf>
    <x:xf numFmtId="0" fontId="0" fillId="11" borderId="12" xfId="0" applyNumberFormat="1" applyFont="1" applyFill="1" applyBorder="1"/>
    <x:xf numFmtId="0" fontId="0" fillId="11" borderId="3" xfId="0" applyNumberFormat="1" applyFont="1" applyFill="1" applyBorder="1"/>
    <x:xf numFmtId="0" fontId="0" fillId="11" borderId="13" xfId="0" applyNumberFormat="1" applyFont="1" applyFill="1" applyBorder="1"/>
    <x:xf numFmtId="0" fontId="0" fillId="11" borderId="14" xfId="0" applyNumberFormat="1" applyFont="1" applyFill="1" applyBorder="1"/>
    <x:xf numFmtId="0" fontId="0" fillId="11" borderId="15" xfId="0" applyNumberFormat="1" applyFont="1" applyFill="1" applyBorder="1"/>
    <x:xf numFmtId="0" fontId="0" fillId="11" borderId="16" xfId="0" applyNumberFormat="1" applyFont="1" applyFill="1" applyBorder="1"/>
    <x:xf numFmtId="0" fontId="0" fillId="12" borderId="14" xfId="0" applyNumberFormat="1" applyFont="1" applyFill="1" applyBorder="1"/>
    <x:xf numFmtId="0" fontId="0" fillId="12" borderId="15" xfId="0" applyNumberFormat="1" applyFont="1" applyFill="1" applyBorder="1"/>
    <x:xf numFmtId="0" fontId="0" fillId="12" borderId="16" xfId="0" applyNumberFormat="1" applyFont="1" applyFill="1" applyBorder="1"/>
    <x:xf numFmtId="0" fontId="0" fillId="12" borderId="17" xfId="0" applyNumberFormat="1" applyFont="1" applyFill="1" applyBorder="1"/>
    <x:xf numFmtId="0" fontId="0" fillId="12" borderId="1" xfId="0" applyNumberFormat="1" applyFont="1" applyFill="1" applyBorder="1"/>
    <x:xf numFmtId="0" fontId="0" fillId="12" borderId="18" xfId="0" applyNumberFormat="1" applyFont="1" applyFill="1" applyBorder="1"/>
    <x:xf numFmtId="202" fontId="0" fillId="11" borderId="3" xfId="0" applyNumberFormat="1" applyFont="1" applyFill="1" applyBorder="1"/>
    <x:xf numFmtId="202" fontId="0" fillId="11" borderId="15" xfId="0" applyNumberFormat="1" applyFont="1" applyFill="1" applyBorder="1"/>
    <x:xf numFmtId="202" fontId="0" fillId="12" borderId="15" xfId="0" applyNumberFormat="1" applyFont="1" applyFill="1" applyBorder="1"/>
    <x:xf numFmtId="202" fontId="0" fillId="12" borderId="1" xfId="0" applyNumberFormat="1" applyFont="1" applyFill="1" applyBorder="1"/>
    <x:xf numFmtId="0" fontId="13" fillId="2" borderId="0" xfId="0" applyNumberFormat="1" applyFont="1" applyFill="1" applyBorder="1" applyAlignment="1">
      <x:alignment wrapText="1"/>
    </x:xf>
    <x:xf numFmtId="0" fontId="9" fillId="11" borderId="12" xfId="0" applyNumberFormat="1" applyFont="1" applyFill="1" applyBorder="1"/>
    <x:xf numFmtId="0" fontId="9" fillId="11" borderId="3" xfId="0" applyNumberFormat="1" applyFont="1" applyFill="1" applyBorder="1"/>
    <x:xf numFmtId="202" fontId="9" fillId="11" borderId="3" xfId="0" applyNumberFormat="1" applyFont="1" applyFill="1" applyBorder="1"/>
    <x:xf numFmtId="0" fontId="9" fillId="11" borderId="13" xfId="0" applyNumberFormat="1" applyFont="1" applyFill="1" applyBorder="1"/>
    <x:xf numFmtId="0" fontId="9" fillId="11" borderId="14" xfId="0" applyNumberFormat="1" applyFont="1" applyFill="1" applyBorder="1"/>
    <x:xf numFmtId="0" fontId="9" fillId="11" borderId="15" xfId="0" applyNumberFormat="1" applyFont="1" applyFill="1" applyBorder="1"/>
    <x:xf numFmtId="202" fontId="9" fillId="11" borderId="15" xfId="0" applyNumberFormat="1" applyFont="1" applyFill="1" applyBorder="1"/>
    <x:xf numFmtId="0" fontId="9" fillId="11" borderId="16" xfId="0" applyNumberFormat="1" applyFont="1" applyFill="1" applyBorder="1"/>
    <x:xf numFmtId="0" fontId="9" fillId="12" borderId="14" xfId="0" applyNumberFormat="1" applyFont="1" applyFill="1" applyBorder="1"/>
    <x:xf numFmtId="0" fontId="9" fillId="12" borderId="15" xfId="0" applyNumberFormat="1" applyFont="1" applyFill="1" applyBorder="1"/>
    <x:xf numFmtId="202" fontId="9" fillId="12" borderId="15" xfId="0" applyNumberFormat="1" applyFont="1" applyFill="1" applyBorder="1"/>
    <x:xf numFmtId="0" fontId="9" fillId="12" borderId="16" xfId="0" applyNumberFormat="1" applyFont="1" applyFill="1" applyBorder="1"/>
    <x:xf numFmtId="0" fontId="9" fillId="12" borderId="17" xfId="0" applyNumberFormat="1" applyFont="1" applyFill="1" applyBorder="1"/>
    <x:xf numFmtId="0" fontId="9" fillId="12" borderId="1" xfId="0" applyNumberFormat="1" applyFont="1" applyFill="1" applyBorder="1"/>
    <x:xf numFmtId="202" fontId="9" fillId="12" borderId="1" xfId="0" applyNumberFormat="1" applyFont="1" applyFill="1" applyBorder="1"/>
    <x:xf numFmtId="0" fontId="9" fillId="12" borderId="18" xfId="0" applyNumberFormat="1" applyFont="1" applyFill="1" applyBorder="1"/>
    <x:xf numFmtId="0" fontId="5" fillId="11" borderId="0" xfId="0" applyNumberFormat="1" applyFont="1" applyFill="1" applyBorder="1"/>
    <x:xf numFmtId="0" fontId="5" fillId="11" borderId="12" xfId="0" applyNumberFormat="1" applyFont="1" applyFill="1" applyBorder="1"/>
    <x:xf numFmtId="0" fontId="5" fillId="11" borderId="3" xfId="0" applyNumberFormat="1" applyFont="1" applyFill="1" applyBorder="1"/>
    <x:xf numFmtId="0" fontId="5" fillId="11" borderId="13" xfId="0" applyNumberFormat="1" applyFont="1" applyFill="1" applyBorder="1"/>
    <x:xf numFmtId="0" fontId="5" fillId="11" borderId="14" xfId="0" applyNumberFormat="1" applyFont="1" applyFill="1" applyBorder="1"/>
    <x:xf numFmtId="0" fontId="5" fillId="11" borderId="15" xfId="0" applyNumberFormat="1" applyFont="1" applyFill="1" applyBorder="1"/>
    <x:xf numFmtId="0" fontId="5" fillId="11" borderId="16" xfId="0" applyNumberFormat="1" applyFont="1" applyFill="1" applyBorder="1"/>
    <x:xf numFmtId="0" fontId="5" fillId="11" borderId="17" xfId="0" applyNumberFormat="1" applyFont="1" applyFill="1" applyBorder="1"/>
    <x:xf numFmtId="0" fontId="5" fillId="11" borderId="1" xfId="0" applyNumberFormat="1" applyFont="1" applyFill="1" applyBorder="1"/>
    <x:xf numFmtId="0" fontId="5" fillId="11" borderId="18" xfId="0" applyNumberFormat="1" applyFont="1" applyFill="1" applyBorder="1"/>
    <x:xf numFmtId="0" fontId="5" fillId="11" borderId="12" xfId="0" applyNumberFormat="1" applyFont="1" applyFill="1" applyBorder="1" applyAlignment="1">
      <x:alignment wrapText="1"/>
    </x:xf>
    <x:xf numFmtId="0" fontId="5" fillId="11" borderId="3" xfId="0" applyNumberFormat="1" applyFont="1" applyFill="1" applyBorder="1" applyAlignment="1">
      <x:alignment wrapText="1"/>
    </x:xf>
    <x:xf numFmtId="0" fontId="5" fillId="11" borderId="13" xfId="0" applyNumberFormat="1" applyFont="1" applyFill="1" applyBorder="1" applyAlignment="1">
      <x:alignment wrapText="1"/>
    </x:xf>
    <x:xf numFmtId="0" fontId="5" fillId="11" borderId="14" xfId="0" applyNumberFormat="1" applyFont="1" applyFill="1" applyBorder="1" applyAlignment="1">
      <x:alignment wrapText="1"/>
    </x:xf>
    <x:xf numFmtId="0" fontId="5" fillId="11" borderId="15" xfId="0" applyNumberFormat="1" applyFont="1" applyFill="1" applyBorder="1" applyAlignment="1">
      <x:alignment wrapText="1"/>
    </x:xf>
    <x:xf numFmtId="0" fontId="5" fillId="11" borderId="16" xfId="0" applyNumberFormat="1" applyFont="1" applyFill="1" applyBorder="1" applyAlignment="1">
      <x:alignment wrapText="1"/>
    </x:xf>
    <x:xf numFmtId="0" fontId="5" fillId="11" borderId="17" xfId="0" applyNumberFormat="1" applyFont="1" applyFill="1" applyBorder="1" applyAlignment="1">
      <x:alignment wrapText="1"/>
    </x:xf>
    <x:xf numFmtId="0" fontId="5" fillId="11" borderId="1" xfId="0" applyNumberFormat="1" applyFont="1" applyFill="1" applyBorder="1" applyAlignment="1">
      <x:alignment wrapText="1"/>
    </x:xf>
    <x:xf numFmtId="0" fontId="5" fillId="11" borderId="18" xfId="0" applyNumberFormat="1" applyFont="1" applyFill="1" applyBorder="1" applyAlignment="1">
      <x:alignment wrapText="1"/>
    </x:xf>
    <x:xf numFmtId="0" fontId="9" fillId="0" borderId="13" xfId="0" applyNumberFormat="1" applyFont="1" applyFill="1" applyBorder="1"/>
    <x:xf numFmtId="0" fontId="9" fillId="0" borderId="16" xfId="0" applyNumberFormat="1" applyFont="1" applyFill="1" applyBorder="1"/>
    <x:xf numFmtId="0" fontId="9" fillId="0" borderId="18" xfId="0" applyNumberFormat="1" applyFont="1" applyFill="1" applyBorder="1"/>
    <x:xf numFmtId="0" fontId="12" fillId="11" borderId="12" xfId="0" applyNumberFormat="1" applyFont="1" applyFill="1" applyBorder="1" applyAlignment="1">
      <x:alignment wrapText="1"/>
    </x:xf>
    <x:xf numFmtId="0" fontId="12" fillId="11" borderId="3" xfId="0" applyNumberFormat="1" applyFont="1" applyFill="1" applyBorder="1" applyAlignment="1">
      <x:alignment wrapText="1"/>
    </x:xf>
    <x:xf numFmtId="0" fontId="12" fillId="11" borderId="13" xfId="0" applyNumberFormat="1" applyFont="1" applyFill="1" applyBorder="1" applyAlignment="1">
      <x:alignment wrapText="1"/>
    </x:xf>
    <x:xf numFmtId="0" fontId="12" fillId="11" borderId="14" xfId="0" applyNumberFormat="1" applyFont="1" applyFill="1" applyBorder="1" applyAlignment="1">
      <x:alignment wrapText="1"/>
    </x:xf>
    <x:xf numFmtId="0" fontId="12" fillId="11" borderId="15" xfId="0" applyNumberFormat="1" applyFont="1" applyFill="1" applyBorder="1" applyAlignment="1">
      <x:alignment wrapText="1"/>
    </x:xf>
    <x:xf numFmtId="0" fontId="12" fillId="11" borderId="16" xfId="0" applyNumberFormat="1" applyFont="1" applyFill="1" applyBorder="1" applyAlignment="1">
      <x:alignment wrapText="1"/>
    </x:xf>
    <x:xf numFmtId="0" fontId="12" fillId="11" borderId="17" xfId="0" applyNumberFormat="1" applyFont="1" applyFill="1" applyBorder="1" applyAlignment="1">
      <x:alignment wrapText="1"/>
    </x:xf>
    <x:xf numFmtId="0" fontId="12" fillId="11" borderId="1" xfId="0" applyNumberFormat="1" applyFont="1" applyFill="1" applyBorder="1" applyAlignment="1">
      <x:alignment wrapText="1"/>
    </x:xf>
    <x:xf numFmtId="0" fontId="12" fillId="11" borderId="18"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a907f4c7314692" /><Relationship Type="http://schemas.openxmlformats.org/officeDocument/2006/relationships/theme" Target="/xl/theme/theme1.xml" Id="Rea9e4de63b2347a9" /><Relationship Type="http://schemas.openxmlformats.org/officeDocument/2006/relationships/sharedStrings" Target="/xl/sharedStrings.xml" Id="R2807ae180b9f48e4" /><Relationship Type="http://schemas.openxmlformats.org/officeDocument/2006/relationships/worksheet" Target="/xl/worksheets/sheet1.xml" Id="R8bc805b18e7942ea" /><Relationship Type="http://schemas.openxmlformats.org/officeDocument/2006/relationships/worksheet" Target="/xl/worksheets/sheet2.xml" Id="Ra9203524ee5242d2" /><Relationship Type="http://schemas.openxmlformats.org/officeDocument/2006/relationships/worksheet" Target="/xl/worksheets/sheet3.xml" Id="R5fb1a852ccb24540" /><Relationship Type="http://schemas.openxmlformats.org/officeDocument/2006/relationships/worksheet" Target="/xl/worksheets/sheet4.xml" Id="Rb1978cf28c074b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7" hidden="0" customWidth="1"/>
    <x:col min="4" max="4" width="24" hidden="0" customWidth="1"/>
    <x:col min="5" max="5" width="24" hidden="0" customWidth="1"/>
    <x:col min="6" max="6" width="15" hidden="0" customWidth="1"/>
    <x:col min="7" max="7" width="23" hidden="0" customWidth="1"/>
    <x:col min="8" max="8" width="15" hidden="0" customWidth="1"/>
    <x:col min="9" max="9" width="15" hidden="0" customWidth="1"/>
    <x:col min="10" max="10" width="28" hidden="0" customWidth="1"/>
  </x:cols>
  <x:sheetData>
    <x:row r="1" ht="34" customHeight="1">
      <x:c r="A1" s="124" t="str">
        <x:v>TOGA RACING · STINT PLANNER</x:v>
      </x:c>
      <x:c r="B1" s="124"/>
      <x:c r="C1" s="124"/>
      <x:c r="D1" s="124"/>
      <x:c r="E1" s="124"/>
      <x:c r="F1" s="124"/>
      <x:c r="G1" s="124"/>
      <x:c r="H1" s="124"/>
      <x:c r="I1" s="124"/>
      <x:c r="J1" s="124"/>
    </x:row>
    <x:row r="2" ht="24" customHeight="1">
      <x:c r="A2" s="125" t="str">
        <x:v>Yellow cells are inputs · Green cells calculate automatically · Times roll across midnight using the race date</x:v>
      </x:c>
      <x:c r="B2" s="125"/>
      <x:c r="C2" s="125"/>
      <x:c r="D2" s="125"/>
      <x:c r="E2" s="125"/>
      <x:c r="F2" s="125"/>
      <x:c r="G2" s="125"/>
      <x:c r="H2" s="125"/>
      <x:c r="I2" s="125"/>
      <x:c r="J2" s="125"/>
    </x:row>
    <x:row r="3">
      <x:c r="A3" s="126"/>
      <x:c r="B3" s="126"/>
      <x:c r="C3" s="126"/>
      <x:c r="D3" s="126"/>
      <x:c r="E3" s="126"/>
      <x:c r="F3" s="126"/>
      <x:c r="G3" s="126"/>
      <x:c r="H3" s="126"/>
      <x:c r="I3" s="126"/>
      <x:c r="J3" s="126"/>
    </x:row>
    <x:row r="4">
      <x:c r="A4" s="127" t="str">
        <x:v>RACE INPUTS</x:v>
      </x:c>
      <x:c r="B4" s="127"/>
      <x:c r="C4" s="126"/>
      <x:c r="D4" s="127" t="str">
        <x:v>PLAN SUMMARY</x:v>
      </x:c>
      <x:c r="E4" s="127"/>
      <x:c r="F4" s="126"/>
      <x:c r="G4" s="128" t="str">
        <x:v>IMPORTANT</x:v>
      </x:c>
      <x:c r="H4" s="128"/>
      <x:c r="I4" s="128"/>
      <x:c r="J4" s="128"/>
    </x:row>
    <x:row r="5" ht="20" customHeight="1">
      <x:c r="A5" s="129" t="str">
        <x:v>Event</x:v>
      </x:c>
      <x:c r="B5" s="130" t="str">
        <x:v>24h Spa</x:v>
      </x:c>
      <x:c r="C5" s="126"/>
      <x:c r="D5" s="129" t="str">
        <x:v>Race starts</x:v>
      </x:c>
      <x:c r="E5" s="131" t="n">
        <x:f>B13+B14</x:f>
        <x:v>46214.572916666664</x:v>
      </x:c>
      <x:c r="F5" s="126"/>
      <x:c r="G5" s="132" t="str">
        <x:v>Fuel use is track, weather, setup and driver dependent—enter your measured fuel per lap. LMU Hypercar/LMGT3 references use Spa 2026 maximum stint energy (MJ), while iRacing references use published tank litres where an official manual was found. Session rules and BoP may reduce usable fuel, so the override is the planning source of truth.</x:v>
      </x:c>
      <x:c r="H5" s="133"/>
      <x:c r="I5" s="133"/>
      <x:c r="J5" s="134"/>
    </x:row>
    <x:row r="6" ht="20" customHeight="1">
      <x:c r="A6" s="129" t="str">
        <x:v>Sim</x:v>
      </x:c>
      <x:c r="B6" s="135" t="str">
        <x:v>iRacing</x:v>
      </x:c>
      <x:c r="C6" s="126"/>
      <x:c r="D6" s="129" t="str">
        <x:v>Race finishes</x:v>
      </x:c>
      <x:c r="E6" s="136" t="n">
        <x:f>E5+B15/1440</x:f>
        <x:v>46215.572916666664</x:v>
      </x:c>
      <x:c r="F6" s="126"/>
      <x:c r="G6" s="137"/>
      <x:c r="H6" s="138"/>
      <x:c r="I6" s="138"/>
      <x:c r="J6" s="139"/>
    </x:row>
    <x:row r="7" ht="20" customHeight="1">
      <x:c r="A7" s="129" t="str">
        <x:v>Car</x:v>
      </x:c>
      <x:c r="B7" s="135" t="str">
        <x:v>Ferrari 296 GT3</x:v>
      </x:c>
      <x:c r="C7" s="126"/>
      <x:c r="D7" s="129" t="str">
        <x:v>Planning capacity</x:v>
      </x:c>
      <x:c r="E7" s="140" t="n">
        <x:f>IF(B11&gt;0,B11,B9)</x:f>
        <x:v>101</x:v>
      </x:c>
      <x:c r="F7" s="126"/>
      <x:c r="G7" s="137"/>
      <x:c r="H7" s="138"/>
      <x:c r="I7" s="138"/>
      <x:c r="J7" s="139"/>
    </x:row>
    <x:row r="8" ht="20" customHeight="1">
      <x:c r="A8" s="129" t="str">
        <x:v>Class</x:v>
      </x:c>
      <x:c r="B8" s="141" t="str">
        <x:f>IFERROR(INDEX('Car Data'!$C$2:$C$60,MATCH(B6&amp;"|"&amp;B7,'Car Data'!$G$2:$G$60,0)),"")</x:f>
        <x:v>GT3</x:v>
      </x:c>
      <x:c r="C8" s="126"/>
      <x:c r="D8" s="129" t="str">
        <x:v>Estimated race laps</x:v>
      </x:c>
      <x:c r="E8" s="142" t="n">
        <x:f>SUM(G25:G60)</x:f>
        <x:v>615</x:v>
      </x:c>
      <x:c r="F8" s="126"/>
      <x:c r="G8" s="137"/>
      <x:c r="H8" s="138"/>
      <x:c r="I8" s="138"/>
      <x:c r="J8" s="139"/>
    </x:row>
    <x:row r="9" ht="20" customHeight="1">
      <x:c r="A9" s="129" t="str">
        <x:v>Sourced capacity / limit</x:v>
      </x:c>
      <x:c r="B9" s="140" t="n">
        <x:f>IFERROR(SUMIF('Car Data'!$G$2:$G$60,B6&amp;"|"&amp;B7,'Car Data'!$D$2:$D$60),"")</x:f>
        <x:v>104</x:v>
      </x:c>
      <x:c r="C9" s="126"/>
      <x:c r="D9" s="129" t="str">
        <x:v>Max racing laps / tank</x:v>
      </x:c>
      <x:c r="E9" s="142" t="n">
        <x:f>IFERROR(MAX(0,ROUNDDOWN(E7/B17,0)-B18),0)</x:f>
        <x:v>23</x:v>
      </x:c>
      <x:c r="F9" s="126"/>
      <x:c r="G9" s="137"/>
      <x:c r="H9" s="138"/>
      <x:c r="I9" s="138"/>
      <x:c r="J9" s="139"/>
    </x:row>
    <x:row r="10" ht="20" customHeight="1">
      <x:c r="A10" s="129" t="str">
        <x:v>Fuel unit</x:v>
      </x:c>
      <x:c r="B10" s="140" t="str">
        <x:f>IFERROR(INDEX('Car Data'!$E$2:$E$60,MATCH(B6&amp;"|"&amp;B7,'Car Data'!$G$2:$G$60,0)),"units")</x:f>
        <x:v>L</x:v>
      </x:c>
      <x:c r="C10" s="126"/>
      <x:c r="D10" s="129" t="str">
        <x:v>Fuel-limited stint (mins)</x:v>
      </x:c>
      <x:c r="E10" s="140" t="n">
        <x:f>IFERROR(E9*B16/60,0)</x:f>
        <x:v>52.9</x:v>
      </x:c>
      <x:c r="F10" s="126"/>
      <x:c r="G10" s="143"/>
      <x:c r="H10" s="144"/>
      <x:c r="I10" s="144"/>
      <x:c r="J10" s="145"/>
    </x:row>
    <x:row r="11">
      <x:c r="A11" s="129" t="str">
        <x:v>Usable tank override</x:v>
      </x:c>
      <x:c r="B11" s="146" t="n">
        <x:v>101</x:v>
      </x:c>
      <x:c r="C11" s="126"/>
      <x:c r="D11" s="129" t="str">
        <x:v>Planned stint (mins)</x:v>
      </x:c>
      <x:c r="E11" s="140" t="n">
        <x:f>IFERROR(MIN(B19,E10),0)</x:f>
        <x:v>52.9</x:v>
      </x:c>
      <x:c r="F11" s="126"/>
      <x:c r="G11" s="126"/>
      <x:c r="H11" s="126"/>
      <x:c r="I11" s="126"/>
      <x:c r="J11" s="126"/>
    </x:row>
    <x:row r="12">
      <x:c r="A12" s="129" t="str">
        <x:v>Track</x:v>
      </x:c>
      <x:c r="B12" s="135" t="str">
        <x:v>Spa-Francorchamps</x:v>
      </x:c>
      <x:c r="C12" s="126"/>
      <x:c r="D12" s="129" t="str">
        <x:v>Estimated stints</x:v>
      </x:c>
      <x:c r="E12" s="142" t="n">
        <x:f>IFERROR(ROUNDUP((B15+B20/60)/(E11+B20/60),0),0)</x:f>
        <x:v>27</x:v>
      </x:c>
      <x:c r="F12" s="126"/>
      <x:c r="G12" s="127" t="str">
        <x:v>Driver totals update from the stint table</x:v>
      </x:c>
      <x:c r="H12" s="127"/>
      <x:c r="I12" s="127"/>
      <x:c r="J12" s="127"/>
    </x:row>
    <x:row r="13">
      <x:c r="A13" s="129" t="str">
        <x:v>Race date</x:v>
      </x:c>
      <x:c r="B13" s="147" t="n">
        <x:v>46214</x:v>
      </x:c>
      <x:c r="C13" s="126"/>
      <x:c r="D13" s="129" t="str">
        <x:v>Estimated race fuel</x:v>
      </x:c>
      <x:c r="E13" s="142" t="n">
        <x:f>E8*B17</x:f>
        <x:v>2460</x:v>
      </x:c>
      <x:c r="F13" s="126"/>
      <x:c r="G13" s="148" t="str">
        <x:v>Driver</x:v>
      </x:c>
      <x:c r="H13" s="148" t="str">
        <x:v>Stints</x:v>
      </x:c>
      <x:c r="I13" s="148" t="str">
        <x:v>Drive mins</x:v>
      </x:c>
      <x:c r="J13" s="148" t="str">
        <x:v>Est. laps</x:v>
      </x:c>
    </x:row>
    <x:row r="14">
      <x:c r="A14" s="129" t="str">
        <x:v>Start time (local)</x:v>
      </x:c>
      <x:c r="B14" s="149" t="n">
        <x:v>0.5729166666666666</x:v>
      </x:c>
      <x:c r="C14" s="126"/>
      <x:c r="D14" s="129" t="str">
        <x:v>Reserve per stop</x:v>
      </x:c>
      <x:c r="E14" s="140" t="n">
        <x:f>B18*B17</x:f>
        <x:v>8</x:v>
      </x:c>
      <x:c r="F14" s="126"/>
      <x:c r="G14" s="150" t="str">
        <x:f>IF('Team &amp; Settings'!E4="","",'Team &amp; Settings'!E4)</x:f>
        <x:v>Hayden Sweet</x:v>
      </x:c>
      <x:c r="H14" s="151" t="n">
        <x:f>IF(G14="","",COUNTIF($B$25:$B$60,G14))</x:f>
        <x:v>0</x:v>
      </x:c>
      <x:c r="I14" s="152" t="n">
        <x:f>IF(G14="","",SUMIF($B$25:$B$60,G14,$F$25:$F$60))</x:f>
        <x:v>0</x:v>
      </x:c>
      <x:c r="J14" s="153" t="n">
        <x:f>IF(G14="","",SUMIF($B$25:$B$60,G14,$G$25:$G$60))</x:f>
        <x:v>0</x:v>
      </x:c>
    </x:row>
    <x:row r="15">
      <x:c r="A15" s="129" t="str">
        <x:v>Race length (mins)</x:v>
      </x:c>
      <x:c r="B15" s="146" t="n">
        <x:v>1440</x:v>
      </x:c>
      <x:c r="C15" s="126"/>
      <x:c r="D15" s="129" t="str">
        <x:v>Scheduled driving</x:v>
      </x:c>
      <x:c r="E15" s="140" t="n">
        <x:f>SUM(F25:F60)</x:f>
        <x:v>1413.9999998450282</x:v>
      </x:c>
      <x:c r="F15" s="126"/>
      <x:c r="G15" s="154" t="str">
        <x:f>IF('Team &amp; Settings'!E5="","",'Team &amp; Settings'!E5)</x:f>
        <x:v>Stijn Donckerwolke</x:v>
      </x:c>
      <x:c r="H15" s="155" t="n">
        <x:f>IF(G15="","",COUNTIF($B$25:$B$60,G15))</x:f>
        <x:v>0</x:v>
      </x:c>
      <x:c r="I15" s="156" t="n">
        <x:f>IF(G15="","",SUMIF($B$25:$B$60,G15,$F$25:$F$60))</x:f>
        <x:v>0</x:v>
      </x:c>
      <x:c r="J15" s="157" t="n">
        <x:f>IF(G15="","",SUMIF($B$25:$B$60,G15,$G$25:$G$60))</x:f>
        <x:v>0</x:v>
      </x:c>
    </x:row>
    <x:row r="16">
      <x:c r="A16" s="129" t="str">
        <x:v>Average lap (secs)</x:v>
      </x:c>
      <x:c r="B16" s="146" t="n">
        <x:v>138</x:v>
      </x:c>
      <x:c r="C16" s="126"/>
      <x:c r="D16" s="129" t="str">
        <x:v>Scheduled pit time</x:v>
      </x:c>
      <x:c r="E16" s="158" t="n">
        <x:f>MAX(0,E12-1)*B20/60</x:f>
        <x:v>26</x:v>
      </x:c>
      <x:c r="F16" s="126"/>
      <x:c r="G16" s="154" t="str">
        <x:f>IF('Team &amp; Settings'!E6="","",'Team &amp; Settings'!E6)</x:f>
        <x:v>Mitchell Sterrenberg</x:v>
      </x:c>
      <x:c r="H16" s="155" t="n">
        <x:f>IF(G16="","",COUNTIF($B$25:$B$60,G16))</x:f>
        <x:v>0</x:v>
      </x:c>
      <x:c r="I16" s="156" t="n">
        <x:f>IF(G16="","",SUMIF($B$25:$B$60,G16,$F$25:$F$60))</x:f>
        <x:v>0</x:v>
      </x:c>
      <x:c r="J16" s="157" t="n">
        <x:f>IF(G16="","",SUMIF($B$25:$B$60,G16,$G$25:$G$60))</x:f>
        <x:v>0</x:v>
      </x:c>
    </x:row>
    <x:row r="17">
      <x:c r="A17" s="129" t="str">
        <x:v>Fuel per lap</x:v>
      </x:c>
      <x:c r="B17" s="146" t="n">
        <x:v>4</x:v>
      </x:c>
      <x:c r="C17" s="126"/>
      <x:c r="D17" s="126"/>
      <x:c r="E17" s="126"/>
      <x:c r="F17" s="126"/>
      <x:c r="G17" s="154" t="str">
        <x:f>IF('Team &amp; Settings'!E7="","",'Team &amp; Settings'!E7)</x:f>
        <x:v>Lukas James</x:v>
      </x:c>
      <x:c r="H17" s="155" t="n">
        <x:f>IF(G17="","",COUNTIF($B$25:$B$60,G17))</x:f>
        <x:v>0</x:v>
      </x:c>
      <x:c r="I17" s="156" t="n">
        <x:f>IF(G17="","",SUMIF($B$25:$B$60,G17,$F$25:$F$60))</x:f>
        <x:v>0</x:v>
      </x:c>
      <x:c r="J17" s="157" t="n">
        <x:f>IF(G17="","",SUMIF($B$25:$B$60,G17,$G$25:$G$60))</x:f>
        <x:v>0</x:v>
      </x:c>
    </x:row>
    <x:row r="18">
      <x:c r="A18" s="129" t="str">
        <x:v>Reserve laps</x:v>
      </x:c>
      <x:c r="B18" s="146" t="n">
        <x:v>2</x:v>
      </x:c>
      <x:c r="C18" s="126"/>
      <x:c r="D18" s="126"/>
      <x:c r="E18" s="126"/>
      <x:c r="F18" s="126"/>
      <x:c r="G18" s="154" t="str">
        <x:f>IF('Team &amp; Settings'!E8="","",'Team &amp; Settings'!E8)</x:f>
        <x:v>Konrad Wasowicz</x:v>
      </x:c>
      <x:c r="H18" s="155" t="n">
        <x:f>IF(G18="","",COUNTIF($B$25:$B$60,G18))</x:f>
        <x:v>0</x:v>
      </x:c>
      <x:c r="I18" s="156" t="n">
        <x:f>IF(G18="","",SUMIF($B$25:$B$60,G18,$F$25:$F$60))</x:f>
        <x:v>0</x:v>
      </x:c>
      <x:c r="J18" s="157" t="n">
        <x:f>IF(G18="","",SUMIF($B$25:$B$60,G18,$G$25:$G$60))</x:f>
        <x:v>0</x:v>
      </x:c>
    </x:row>
    <x:row r="19">
      <x:c r="A19" s="129" t="str">
        <x:v>Max stint (mins)</x:v>
      </x:c>
      <x:c r="B19" s="146" t="n">
        <x:v>56</x:v>
      </x:c>
      <x:c r="C19" s="126"/>
      <x:c r="D19" s="126"/>
      <x:c r="E19" s="126"/>
      <x:c r="F19" s="126"/>
      <x:c r="G19" s="154" t="str">
        <x:f>IF('Team &amp; Settings'!E9="","",'Team &amp; Settings'!E9)</x:f>
      </x:c>
      <x:c r="H19" s="155" t="str">
        <x:f>IF(G19="","",COUNTIF($B$25:$B$60,G19))</x:f>
      </x:c>
      <x:c r="I19" s="156" t="str">
        <x:f>IF(G19="","",SUMIF($B$25:$B$60,G19,$F$25:$F$60))</x:f>
      </x:c>
      <x:c r="J19" s="157" t="str">
        <x:f>IF(G19="","",SUMIF($B$25:$B$60,G19,$G$25:$G$60))</x:f>
      </x:c>
    </x:row>
    <x:row r="20">
      <x:c r="A20" s="129" t="str">
        <x:v>Pit loss between stints (secs)</x:v>
      </x:c>
      <x:c r="B20" s="159" t="n">
        <x:v>60</x:v>
      </x:c>
      <x:c r="C20" s="126"/>
      <x:c r="D20" s="126"/>
      <x:c r="E20" s="126"/>
      <x:c r="F20" s="126"/>
      <x:c r="G20" s="154" t="str">
        <x:f>IF('Team &amp; Settings'!E10="","",'Team &amp; Settings'!E10)</x:f>
      </x:c>
      <x:c r="H20" s="155" t="str">
        <x:f>IF(G20="","",COUNTIF($B$25:$B$60,G20))</x:f>
      </x:c>
      <x:c r="I20" s="156" t="str">
        <x:f>IF(G20="","",SUMIF($B$25:$B$60,G20,$F$25:$F$60))</x:f>
      </x:c>
      <x:c r="J20" s="157" t="str">
        <x:f>IF(G20="","",SUMIF($B$25:$B$60,G20,$G$25:$G$60))</x:f>
      </x:c>
    </x:row>
    <x:row r="21">
      <x:c r="A21" s="126"/>
      <x:c r="B21" s="126"/>
      <x:c r="C21" s="126"/>
      <x:c r="D21" s="126"/>
      <x:c r="E21" s="126"/>
      <x:c r="F21" s="126"/>
      <x:c r="G21" s="160" t="str">
        <x:f>IF('Team &amp; Settings'!E11="","",'Team &amp; Settings'!E11)</x:f>
      </x:c>
      <x:c r="H21" s="161" t="str">
        <x:f>IF(G21="","",COUNTIF($B$25:$B$60,G21))</x:f>
      </x:c>
      <x:c r="I21" s="162" t="str">
        <x:f>IF(G21="","",SUMIF($B$25:$B$60,G21,$F$25:$F$60))</x:f>
      </x:c>
      <x:c r="J21" s="163" t="str">
        <x:f>IF(G21="","",SUMIF($B$25:$B$60,G21,$G$25:$G$60))</x:f>
      </x:c>
    </x:row>
    <x:row r="22">
      <x:c r="A22" s="126"/>
      <x:c r="B22" s="126"/>
      <x:c r="C22" s="126"/>
      <x:c r="D22" s="126"/>
      <x:c r="E22" s="126"/>
      <x:c r="F22" s="126"/>
      <x:c r="G22" s="126"/>
      <x:c r="H22" s="126"/>
      <x:c r="I22" s="126"/>
      <x:c r="J22" s="126"/>
    </x:row>
    <x:row r="23">
      <x:c r="A23" s="127" t="str">
        <x:v>STINT SCHEDULE</x:v>
      </x:c>
      <x:c r="B23" s="127"/>
      <x:c r="C23" s="127"/>
      <x:c r="D23" s="127"/>
      <x:c r="E23" s="127"/>
      <x:c r="F23" s="127"/>
      <x:c r="G23" s="127"/>
      <x:c r="H23" s="127"/>
      <x:c r="I23" s="127"/>
      <x:c r="J23" s="127"/>
    </x:row>
    <x:row r="24" ht="28" customHeight="1">
      <x:c r="A24" s="164" t="str">
        <x:v>Stint</x:v>
      </x:c>
      <x:c r="B24" s="164" t="str">
        <x:v>Driver</x:v>
      </x:c>
      <x:c r="C24" s="164" t="str">
        <x:v>Stand-by</x:v>
      </x:c>
      <x:c r="D24" s="164" t="str">
        <x:v>Start</x:v>
      </x:c>
      <x:c r="E24" s="164" t="str">
        <x:v>End</x:v>
      </x:c>
      <x:c r="F24" s="164" t="str">
        <x:v>Drive mins</x:v>
      </x:c>
      <x:c r="G24" s="164" t="str">
        <x:v>Est. laps</x:v>
      </x:c>
      <x:c r="H24" s="164" t="str">
        <x:v>Fuel needed</x:v>
      </x:c>
      <x:c r="I24" s="164" t="str">
        <x:v>Start fuel target</x:v>
      </x:c>
      <x:c r="J24" s="164" t="str">
        <x:v>Notes</x:v>
      </x:c>
    </x:row>
    <x:row r="25">
      <x:c r="A25" s="165" t="n">
        <x:v>1</x:v>
      </x:c>
      <x:c r="B25" s="166"/>
      <x:c r="C25" s="166"/>
      <x:c r="D25" s="167" t="n">
        <x:f>IF($A25&lt;=$E$12,$E$5,"")</x:f>
        <x:v>46214.572916666664</x:v>
      </x:c>
      <x:c r="E25" s="167" t="n">
        <x:f>IF(D25="","",MIN($E$6,D25+F25/1440))</x:f>
        <x:v>46214.60965277778</x:v>
      </x:c>
      <x:c r="F25" s="168" t="n">
        <x:f>IF(D25="","",MIN($E$11,MAX(0,($E$6-D25)*1440)))</x:f>
        <x:v>52.9</x:v>
      </x:c>
      <x:c r="G25" s="169" t="n">
        <x:f>IF(F25="","",ROUNDUP(F25*60/$B$16,0))</x:f>
        <x:v>23</x:v>
      </x:c>
      <x:c r="H25" s="168" t="n">
        <x:f>IF(G25="","",G25*$B$17)</x:f>
        <x:v>92</x:v>
      </x:c>
      <x:c r="I25" s="168" t="n">
        <x:f>IF(H25="","",MIN($E$7,H25+$B$18*$B$17))</x:f>
        <x:v>100</x:v>
      </x:c>
      <x:c r="J25" s="170"/>
    </x:row>
    <x:row r="26">
      <x:c r="A26" s="171" t="n">
        <x:v>2</x:v>
      </x:c>
      <x:c r="B26" s="172"/>
      <x:c r="C26" s="172"/>
      <x:c r="D26" s="173" t="n">
        <x:f>IF($A26&lt;=$E$12,E25+$B$20/86400,"")</x:f>
        <x:v>46214.610347222224</x:v>
      </x:c>
      <x:c r="E26" s="173" t="n">
        <x:f>IF(D26="","",MIN($E$6,D26+F26/1440))</x:f>
        <x:v>46214.64708333334</x:v>
      </x:c>
      <x:c r="F26" s="174" t="n">
        <x:f>IF(D26="","",MIN($E$11,MAX(0,($E$6-D26)*1440)))</x:f>
        <x:v>52.9</x:v>
      </x:c>
      <x:c r="G26" s="175" t="n">
        <x:f>IF(F26="","",ROUNDUP(F26*60/$B$16,0))</x:f>
        <x:v>23</x:v>
      </x:c>
      <x:c r="H26" s="174" t="n">
        <x:f>IF(G26="","",G26*$B$17)</x:f>
        <x:v>92</x:v>
      </x:c>
      <x:c r="I26" s="174" t="n">
        <x:f>IF(H26="","",MIN($E$7,H26+$B$18*$B$17))</x:f>
        <x:v>100</x:v>
      </x:c>
      <x:c r="J26" s="176"/>
    </x:row>
    <x:row r="27">
      <x:c r="A27" s="171" t="n">
        <x:v>3</x:v>
      </x:c>
      <x:c r="B27" s="172"/>
      <x:c r="C27" s="172"/>
      <x:c r="D27" s="173" t="n">
        <x:f>IF($A27&lt;=$E$12,E26+$B$20/86400,"")</x:f>
        <x:v>46214.64777777778</x:v>
      </x:c>
      <x:c r="E27" s="173" t="n">
        <x:f>IF(D27="","",MIN($E$6,D27+F27/1440))</x:f>
        <x:v>46214.6845138889</x:v>
      </x:c>
      <x:c r="F27" s="174" t="n">
        <x:f>IF(D27="","",MIN($E$11,MAX(0,($E$6-D27)*1440)))</x:f>
        <x:v>52.9</x:v>
      </x:c>
      <x:c r="G27" s="175" t="n">
        <x:f>IF(F27="","",ROUNDUP(F27*60/$B$16,0))</x:f>
        <x:v>23</x:v>
      </x:c>
      <x:c r="H27" s="174" t="n">
        <x:f>IF(G27="","",G27*$B$17)</x:f>
        <x:v>92</x:v>
      </x:c>
      <x:c r="I27" s="174" t="n">
        <x:f>IF(H27="","",MIN($E$7,H27+$B$18*$B$17))</x:f>
        <x:v>100</x:v>
      </x:c>
      <x:c r="J27" s="176"/>
    </x:row>
    <x:row r="28">
      <x:c r="A28" s="171" t="n">
        <x:v>4</x:v>
      </x:c>
      <x:c r="B28" s="172"/>
      <x:c r="C28" s="172"/>
      <x:c r="D28" s="173" t="n">
        <x:f>IF($A28&lt;=$E$12,E27+$B$20/86400,"")</x:f>
        <x:v>46214.68520833334</x:v>
      </x:c>
      <x:c r="E28" s="173" t="n">
        <x:f>IF(D28="","",MIN($E$6,D28+F28/1440))</x:f>
        <x:v>46214.721944444456</x:v>
      </x:c>
      <x:c r="F28" s="174" t="n">
        <x:f>IF(D28="","",MIN($E$11,MAX(0,($E$6-D28)*1440)))</x:f>
        <x:v>52.9</x:v>
      </x:c>
      <x:c r="G28" s="175" t="n">
        <x:f>IF(F28="","",ROUNDUP(F28*60/$B$16,0))</x:f>
        <x:v>23</x:v>
      </x:c>
      <x:c r="H28" s="174" t="n">
        <x:f>IF(G28="","",G28*$B$17)</x:f>
        <x:v>92</x:v>
      </x:c>
      <x:c r="I28" s="174" t="n">
        <x:f>IF(H28="","",MIN($E$7,H28+$B$18*$B$17))</x:f>
        <x:v>100</x:v>
      </x:c>
      <x:c r="J28" s="176"/>
    </x:row>
    <x:row r="29">
      <x:c r="A29" s="171" t="n">
        <x:v>5</x:v>
      </x:c>
      <x:c r="B29" s="172"/>
      <x:c r="C29" s="172"/>
      <x:c r="D29" s="173" t="n">
        <x:f>IF($A29&lt;=$E$12,E28+$B$20/86400,"")</x:f>
        <x:v>46214.7226388889</x:v>
      </x:c>
      <x:c r="E29" s="173" t="n">
        <x:f>IF(D29="","",MIN($E$6,D29+F29/1440))</x:f>
        <x:v>46214.759375000016</x:v>
      </x:c>
      <x:c r="F29" s="174" t="n">
        <x:f>IF(D29="","",MIN($E$11,MAX(0,($E$6-D29)*1440)))</x:f>
        <x:v>52.9</x:v>
      </x:c>
      <x:c r="G29" s="175" t="n">
        <x:f>IF(F29="","",ROUNDUP(F29*60/$B$16,0))</x:f>
        <x:v>23</x:v>
      </x:c>
      <x:c r="H29" s="174" t="n">
        <x:f>IF(G29="","",G29*$B$17)</x:f>
        <x:v>92</x:v>
      </x:c>
      <x:c r="I29" s="174" t="n">
        <x:f>IF(H29="","",MIN($E$7,H29+$B$18*$B$17))</x:f>
        <x:v>100</x:v>
      </x:c>
      <x:c r="J29" s="176"/>
    </x:row>
    <x:row r="30">
      <x:c r="A30" s="171" t="n">
        <x:v>6</x:v>
      </x:c>
      <x:c r="B30" s="172"/>
      <x:c r="C30" s="172"/>
      <x:c r="D30" s="173" t="n">
        <x:f>IF($A30&lt;=$E$12,E29+$B$20/86400,"")</x:f>
        <x:v>46214.76006944446</x:v>
      </x:c>
      <x:c r="E30" s="173" t="n">
        <x:f>IF(D30="","",MIN($E$6,D30+F30/1440))</x:f>
        <x:v>46214.796805555576</x:v>
      </x:c>
      <x:c r="F30" s="174" t="n">
        <x:f>IF(D30="","",MIN($E$11,MAX(0,($E$6-D30)*1440)))</x:f>
        <x:v>52.9</x:v>
      </x:c>
      <x:c r="G30" s="175" t="n">
        <x:f>IF(F30="","",ROUNDUP(F30*60/$B$16,0))</x:f>
        <x:v>23</x:v>
      </x:c>
      <x:c r="H30" s="174" t="n">
        <x:f>IF(G30="","",G30*$B$17)</x:f>
        <x:v>92</x:v>
      </x:c>
      <x:c r="I30" s="174" t="n">
        <x:f>IF(H30="","",MIN($E$7,H30+$B$18*$B$17))</x:f>
        <x:v>100</x:v>
      </x:c>
      <x:c r="J30" s="176"/>
    </x:row>
    <x:row r="31">
      <x:c r="A31" s="171" t="n">
        <x:v>7</x:v>
      </x:c>
      <x:c r="B31" s="172"/>
      <x:c r="C31" s="172"/>
      <x:c r="D31" s="173" t="n">
        <x:f>IF($A31&lt;=$E$12,E30+$B$20/86400,"")</x:f>
        <x:v>46214.79750000002</x:v>
      </x:c>
      <x:c r="E31" s="173" t="n">
        <x:f>IF(D31="","",MIN($E$6,D31+F31/1440))</x:f>
        <x:v>46214.834236111135</x:v>
      </x:c>
      <x:c r="F31" s="174" t="n">
        <x:f>IF(D31="","",MIN($E$11,MAX(0,($E$6-D31)*1440)))</x:f>
        <x:v>52.9</x:v>
      </x:c>
      <x:c r="G31" s="175" t="n">
        <x:f>IF(F31="","",ROUNDUP(F31*60/$B$16,0))</x:f>
        <x:v>23</x:v>
      </x:c>
      <x:c r="H31" s="174" t="n">
        <x:f>IF(G31="","",G31*$B$17)</x:f>
        <x:v>92</x:v>
      </x:c>
      <x:c r="I31" s="174" t="n">
        <x:f>IF(H31="","",MIN($E$7,H31+$B$18*$B$17))</x:f>
        <x:v>100</x:v>
      </x:c>
      <x:c r="J31" s="176"/>
    </x:row>
    <x:row r="32">
      <x:c r="A32" s="171" t="n">
        <x:v>8</x:v>
      </x:c>
      <x:c r="B32" s="172"/>
      <x:c r="C32" s="172"/>
      <x:c r="D32" s="173" t="n">
        <x:f>IF($A32&lt;=$E$12,E31+$B$20/86400,"")</x:f>
        <x:v>46214.83493055558</x:v>
      </x:c>
      <x:c r="E32" s="173" t="n">
        <x:f>IF(D32="","",MIN($E$6,D32+F32/1440))</x:f>
        <x:v>46214.871666666695</x:v>
      </x:c>
      <x:c r="F32" s="174" t="n">
        <x:f>IF(D32="","",MIN($E$11,MAX(0,($E$6-D32)*1440)))</x:f>
        <x:v>52.9</x:v>
      </x:c>
      <x:c r="G32" s="175" t="n">
        <x:f>IF(F32="","",ROUNDUP(F32*60/$B$16,0))</x:f>
        <x:v>23</x:v>
      </x:c>
      <x:c r="H32" s="174" t="n">
        <x:f>IF(G32="","",G32*$B$17)</x:f>
        <x:v>92</x:v>
      </x:c>
      <x:c r="I32" s="174" t="n">
        <x:f>IF(H32="","",MIN($E$7,H32+$B$18*$B$17))</x:f>
        <x:v>100</x:v>
      </x:c>
      <x:c r="J32" s="176"/>
    </x:row>
    <x:row r="33">
      <x:c r="A33" s="171" t="n">
        <x:v>9</x:v>
      </x:c>
      <x:c r="B33" s="172"/>
      <x:c r="C33" s="172"/>
      <x:c r="D33" s="173" t="n">
        <x:f>IF($A33&lt;=$E$12,E32+$B$20/86400,"")</x:f>
        <x:v>46214.87236111114</x:v>
      </x:c>
      <x:c r="E33" s="173" t="n">
        <x:f>IF(D33="","",MIN($E$6,D33+F33/1440))</x:f>
        <x:v>46214.909097222255</x:v>
      </x:c>
      <x:c r="F33" s="174" t="n">
        <x:f>IF(D33="","",MIN($E$11,MAX(0,($E$6-D33)*1440)))</x:f>
        <x:v>52.9</x:v>
      </x:c>
      <x:c r="G33" s="175" t="n">
        <x:f>IF(F33="","",ROUNDUP(F33*60/$B$16,0))</x:f>
        <x:v>23</x:v>
      </x:c>
      <x:c r="H33" s="174" t="n">
        <x:f>IF(G33="","",G33*$B$17)</x:f>
        <x:v>92</x:v>
      </x:c>
      <x:c r="I33" s="174" t="n">
        <x:f>IF(H33="","",MIN($E$7,H33+$B$18*$B$17))</x:f>
        <x:v>100</x:v>
      </x:c>
      <x:c r="J33" s="176"/>
    </x:row>
    <x:row r="34">
      <x:c r="A34" s="171" t="n">
        <x:v>10</x:v>
      </x:c>
      <x:c r="B34" s="172"/>
      <x:c r="C34" s="172"/>
      <x:c r="D34" s="173" t="n">
        <x:f>IF($A34&lt;=$E$12,E33+$B$20/86400,"")</x:f>
        <x:v>46214.9097916667</x:v>
      </x:c>
      <x:c r="E34" s="173" t="n">
        <x:f>IF(D34="","",MIN($E$6,D34+F34/1440))</x:f>
        <x:v>46214.946527777814</x:v>
      </x:c>
      <x:c r="F34" s="174" t="n">
        <x:f>IF(D34="","",MIN($E$11,MAX(0,($E$6-D34)*1440)))</x:f>
        <x:v>52.9</x:v>
      </x:c>
      <x:c r="G34" s="175" t="n">
        <x:f>IF(F34="","",ROUNDUP(F34*60/$B$16,0))</x:f>
        <x:v>23</x:v>
      </x:c>
      <x:c r="H34" s="174" t="n">
        <x:f>IF(G34="","",G34*$B$17)</x:f>
        <x:v>92</x:v>
      </x:c>
      <x:c r="I34" s="174" t="n">
        <x:f>IF(H34="","",MIN($E$7,H34+$B$18*$B$17))</x:f>
        <x:v>100</x:v>
      </x:c>
      <x:c r="J34" s="176"/>
    </x:row>
    <x:row r="35">
      <x:c r="A35" s="171" t="n">
        <x:v>11</x:v>
      </x:c>
      <x:c r="B35" s="172"/>
      <x:c r="C35" s="172"/>
      <x:c r="D35" s="173" t="n">
        <x:f>IF($A35&lt;=$E$12,E34+$B$20/86400,"")</x:f>
        <x:v>46214.94722222226</x:v>
      </x:c>
      <x:c r="E35" s="173" t="n">
        <x:f>IF(D35="","",MIN($E$6,D35+F35/1440))</x:f>
        <x:v>46214.983958333374</x:v>
      </x:c>
      <x:c r="F35" s="174" t="n">
        <x:f>IF(D35="","",MIN($E$11,MAX(0,($E$6-D35)*1440)))</x:f>
        <x:v>52.9</x:v>
      </x:c>
      <x:c r="G35" s="175" t="n">
        <x:f>IF(F35="","",ROUNDUP(F35*60/$B$16,0))</x:f>
        <x:v>23</x:v>
      </x:c>
      <x:c r="H35" s="174" t="n">
        <x:f>IF(G35="","",G35*$B$17)</x:f>
        <x:v>92</x:v>
      </x:c>
      <x:c r="I35" s="174" t="n">
        <x:f>IF(H35="","",MIN($E$7,H35+$B$18*$B$17))</x:f>
        <x:v>100</x:v>
      </x:c>
      <x:c r="J35" s="176"/>
    </x:row>
    <x:row r="36">
      <x:c r="A36" s="171" t="n">
        <x:v>12</x:v>
      </x:c>
      <x:c r="B36" s="172"/>
      <x:c r="C36" s="172"/>
      <x:c r="D36" s="173" t="n">
        <x:f>IF($A36&lt;=$E$12,E35+$B$20/86400,"")</x:f>
        <x:v>46214.98465277782</x:v>
      </x:c>
      <x:c r="E36" s="173" t="n">
        <x:f>IF(D36="","",MIN($E$6,D36+F36/1440))</x:f>
        <x:v>46215.021388888934</x:v>
      </x:c>
      <x:c r="F36" s="174" t="n">
        <x:f>IF(D36="","",MIN($E$11,MAX(0,($E$6-D36)*1440)))</x:f>
        <x:v>52.9</x:v>
      </x:c>
      <x:c r="G36" s="175" t="n">
        <x:f>IF(F36="","",ROUNDUP(F36*60/$B$16,0))</x:f>
        <x:v>23</x:v>
      </x:c>
      <x:c r="H36" s="174" t="n">
        <x:f>IF(G36="","",G36*$B$17)</x:f>
        <x:v>92</x:v>
      </x:c>
      <x:c r="I36" s="174" t="n">
        <x:f>IF(H36="","",MIN($E$7,H36+$B$18*$B$17))</x:f>
        <x:v>100</x:v>
      </x:c>
      <x:c r="J36" s="176"/>
    </x:row>
    <x:row r="37">
      <x:c r="A37" s="171" t="n">
        <x:v>13</x:v>
      </x:c>
      <x:c r="B37" s="172"/>
      <x:c r="C37" s="172"/>
      <x:c r="D37" s="173" t="n">
        <x:f>IF($A37&lt;=$E$12,E36+$B$20/86400,"")</x:f>
        <x:v>46215.02208333338</x:v>
      </x:c>
      <x:c r="E37" s="173" t="n">
        <x:f>IF(D37="","",MIN($E$6,D37+F37/1440))</x:f>
        <x:v>46215.05881944449</x:v>
      </x:c>
      <x:c r="F37" s="174" t="n">
        <x:f>IF(D37="","",MIN($E$11,MAX(0,($E$6-D37)*1440)))</x:f>
        <x:v>52.9</x:v>
      </x:c>
      <x:c r="G37" s="175" t="n">
        <x:f>IF(F37="","",ROUNDUP(F37*60/$B$16,0))</x:f>
        <x:v>23</x:v>
      </x:c>
      <x:c r="H37" s="174" t="n">
        <x:f>IF(G37="","",G37*$B$17)</x:f>
        <x:v>92</x:v>
      </x:c>
      <x:c r="I37" s="174" t="n">
        <x:f>IF(H37="","",MIN($E$7,H37+$B$18*$B$17))</x:f>
        <x:v>100</x:v>
      </x:c>
      <x:c r="J37" s="176"/>
    </x:row>
    <x:row r="38">
      <x:c r="A38" s="171" t="n">
        <x:v>14</x:v>
      </x:c>
      <x:c r="B38" s="172"/>
      <x:c r="C38" s="172"/>
      <x:c r="D38" s="173" t="n">
        <x:f>IF($A38&lt;=$E$12,E37+$B$20/86400,"")</x:f>
        <x:v>46215.05951388894</x:v>
      </x:c>
      <x:c r="E38" s="173" t="n">
        <x:f>IF(D38="","",MIN($E$6,D38+F38/1440))</x:f>
        <x:v>46215.09625000005</x:v>
      </x:c>
      <x:c r="F38" s="174" t="n">
        <x:f>IF(D38="","",MIN($E$11,MAX(0,($E$6-D38)*1440)))</x:f>
        <x:v>52.9</x:v>
      </x:c>
      <x:c r="G38" s="175" t="n">
        <x:f>IF(F38="","",ROUNDUP(F38*60/$B$16,0))</x:f>
        <x:v>23</x:v>
      </x:c>
      <x:c r="H38" s="174" t="n">
        <x:f>IF(G38="","",G38*$B$17)</x:f>
        <x:v>92</x:v>
      </x:c>
      <x:c r="I38" s="174" t="n">
        <x:f>IF(H38="","",MIN($E$7,H38+$B$18*$B$17))</x:f>
        <x:v>100</x:v>
      </x:c>
      <x:c r="J38" s="176"/>
    </x:row>
    <x:row r="39">
      <x:c r="A39" s="171" t="n">
        <x:v>15</x:v>
      </x:c>
      <x:c r="B39" s="172"/>
      <x:c r="C39" s="172"/>
      <x:c r="D39" s="173" t="n">
        <x:f>IF($A39&lt;=$E$12,E38+$B$20/86400,"")</x:f>
        <x:v>46215.0969444445</x:v>
      </x:c>
      <x:c r="E39" s="173" t="n">
        <x:f>IF(D39="","",MIN($E$6,D39+F39/1440))</x:f>
        <x:v>46215.13368055561</x:v>
      </x:c>
      <x:c r="F39" s="174" t="n">
        <x:f>IF(D39="","",MIN($E$11,MAX(0,($E$6-D39)*1440)))</x:f>
        <x:v>52.9</x:v>
      </x:c>
      <x:c r="G39" s="175" t="n">
        <x:f>IF(F39="","",ROUNDUP(F39*60/$B$16,0))</x:f>
        <x:v>23</x:v>
      </x:c>
      <x:c r="H39" s="174" t="n">
        <x:f>IF(G39="","",G39*$B$17)</x:f>
        <x:v>92</x:v>
      </x:c>
      <x:c r="I39" s="174" t="n">
        <x:f>IF(H39="","",MIN($E$7,H39+$B$18*$B$17))</x:f>
        <x:v>100</x:v>
      </x:c>
      <x:c r="J39" s="176"/>
    </x:row>
    <x:row r="40">
      <x:c r="A40" s="171" t="n">
        <x:v>16</x:v>
      </x:c>
      <x:c r="B40" s="172"/>
      <x:c r="C40" s="172"/>
      <x:c r="D40" s="173" t="n">
        <x:f>IF($A40&lt;=$E$12,E39+$B$20/86400,"")</x:f>
        <x:v>46215.13437500006</x:v>
      </x:c>
      <x:c r="E40" s="173" t="n">
        <x:f>IF(D40="","",MIN($E$6,D40+F40/1440))</x:f>
        <x:v>46215.17111111117</x:v>
      </x:c>
      <x:c r="F40" s="174" t="n">
        <x:f>IF(D40="","",MIN($E$11,MAX(0,($E$6-D40)*1440)))</x:f>
        <x:v>52.9</x:v>
      </x:c>
      <x:c r="G40" s="175" t="n">
        <x:f>IF(F40="","",ROUNDUP(F40*60/$B$16,0))</x:f>
        <x:v>23</x:v>
      </x:c>
      <x:c r="H40" s="174" t="n">
        <x:f>IF(G40="","",G40*$B$17)</x:f>
        <x:v>92</x:v>
      </x:c>
      <x:c r="I40" s="174" t="n">
        <x:f>IF(H40="","",MIN($E$7,H40+$B$18*$B$17))</x:f>
        <x:v>100</x:v>
      </x:c>
      <x:c r="J40" s="176"/>
    </x:row>
    <x:row r="41">
      <x:c r="A41" s="171" t="n">
        <x:v>17</x:v>
      </x:c>
      <x:c r="B41" s="172"/>
      <x:c r="C41" s="172"/>
      <x:c r="D41" s="173" t="n">
        <x:f>IF($A41&lt;=$E$12,E40+$B$20/86400,"")</x:f>
        <x:v>46215.17180555562</x:v>
      </x:c>
      <x:c r="E41" s="173" t="n">
        <x:f>IF(D41="","",MIN($E$6,D41+F41/1440))</x:f>
        <x:v>46215.20854166673</x:v>
      </x:c>
      <x:c r="F41" s="174" t="n">
        <x:f>IF(D41="","",MIN($E$11,MAX(0,($E$6-D41)*1440)))</x:f>
        <x:v>52.9</x:v>
      </x:c>
      <x:c r="G41" s="175" t="n">
        <x:f>IF(F41="","",ROUNDUP(F41*60/$B$16,0))</x:f>
        <x:v>23</x:v>
      </x:c>
      <x:c r="H41" s="174" t="n">
        <x:f>IF(G41="","",G41*$B$17)</x:f>
        <x:v>92</x:v>
      </x:c>
      <x:c r="I41" s="174" t="n">
        <x:f>IF(H41="","",MIN($E$7,H41+$B$18*$B$17))</x:f>
        <x:v>100</x:v>
      </x:c>
      <x:c r="J41" s="176"/>
    </x:row>
    <x:row r="42">
      <x:c r="A42" s="171" t="n">
        <x:v>18</x:v>
      </x:c>
      <x:c r="B42" s="172"/>
      <x:c r="C42" s="172"/>
      <x:c r="D42" s="173" t="n">
        <x:f>IF($A42&lt;=$E$12,E41+$B$20/86400,"")</x:f>
        <x:v>46215.20923611118</x:v>
      </x:c>
      <x:c r="E42" s="173" t="n">
        <x:f>IF(D42="","",MIN($E$6,D42+F42/1440))</x:f>
        <x:v>46215.24597222229</x:v>
      </x:c>
      <x:c r="F42" s="174" t="n">
        <x:f>IF(D42="","",MIN($E$11,MAX(0,($E$6-D42)*1440)))</x:f>
        <x:v>52.9</x:v>
      </x:c>
      <x:c r="G42" s="175" t="n">
        <x:f>IF(F42="","",ROUNDUP(F42*60/$B$16,0))</x:f>
        <x:v>23</x:v>
      </x:c>
      <x:c r="H42" s="174" t="n">
        <x:f>IF(G42="","",G42*$B$17)</x:f>
        <x:v>92</x:v>
      </x:c>
      <x:c r="I42" s="174" t="n">
        <x:f>IF(H42="","",MIN($E$7,H42+$B$18*$B$17))</x:f>
        <x:v>100</x:v>
      </x:c>
      <x:c r="J42" s="176"/>
    </x:row>
    <x:row r="43">
      <x:c r="A43" s="171" t="n">
        <x:v>19</x:v>
      </x:c>
      <x:c r="B43" s="172"/>
      <x:c r="C43" s="172"/>
      <x:c r="D43" s="173" t="n">
        <x:f>IF($A43&lt;=$E$12,E42+$B$20/86400,"")</x:f>
        <x:v>46215.24666666674</x:v>
      </x:c>
      <x:c r="E43" s="173" t="n">
        <x:f>IF(D43="","",MIN($E$6,D43+F43/1440))</x:f>
        <x:v>46215.28340277785</x:v>
      </x:c>
      <x:c r="F43" s="174" t="n">
        <x:f>IF(D43="","",MIN($E$11,MAX(0,($E$6-D43)*1440)))</x:f>
        <x:v>52.9</x:v>
      </x:c>
      <x:c r="G43" s="175" t="n">
        <x:f>IF(F43="","",ROUNDUP(F43*60/$B$16,0))</x:f>
        <x:v>23</x:v>
      </x:c>
      <x:c r="H43" s="174" t="n">
        <x:f>IF(G43="","",G43*$B$17)</x:f>
        <x:v>92</x:v>
      </x:c>
      <x:c r="I43" s="174" t="n">
        <x:f>IF(H43="","",MIN($E$7,H43+$B$18*$B$17))</x:f>
        <x:v>100</x:v>
      </x:c>
      <x:c r="J43" s="176"/>
    </x:row>
    <x:row r="44">
      <x:c r="A44" s="171" t="n">
        <x:v>20</x:v>
      </x:c>
      <x:c r="B44" s="172"/>
      <x:c r="C44" s="172"/>
      <x:c r="D44" s="173" t="n">
        <x:f>IF($A44&lt;=$E$12,E43+$B$20/86400,"")</x:f>
        <x:v>46215.2840972223</x:v>
      </x:c>
      <x:c r="E44" s="173" t="n">
        <x:f>IF(D44="","",MIN($E$6,D44+F44/1440))</x:f>
        <x:v>46215.32083333341</x:v>
      </x:c>
      <x:c r="F44" s="174" t="n">
        <x:f>IF(D44="","",MIN($E$11,MAX(0,($E$6-D44)*1440)))</x:f>
        <x:v>52.9</x:v>
      </x:c>
      <x:c r="G44" s="175" t="n">
        <x:f>IF(F44="","",ROUNDUP(F44*60/$B$16,0))</x:f>
        <x:v>23</x:v>
      </x:c>
      <x:c r="H44" s="174" t="n">
        <x:f>IF(G44="","",G44*$B$17)</x:f>
        <x:v>92</x:v>
      </x:c>
      <x:c r="I44" s="174" t="n">
        <x:f>IF(H44="","",MIN($E$7,H44+$B$18*$B$17))</x:f>
        <x:v>100</x:v>
      </x:c>
      <x:c r="J44" s="176"/>
    </x:row>
    <x:row r="45">
      <x:c r="A45" s="171" t="n">
        <x:v>21</x:v>
      </x:c>
      <x:c r="B45" s="172"/>
      <x:c r="C45" s="172"/>
      <x:c r="D45" s="173" t="n">
        <x:f>IF($A45&lt;=$E$12,E44+$B$20/86400,"")</x:f>
        <x:v>46215.32152777786</x:v>
      </x:c>
      <x:c r="E45" s="173" t="n">
        <x:f>IF(D45="","",MIN($E$6,D45+F45/1440))</x:f>
        <x:v>46215.35826388897</x:v>
      </x:c>
      <x:c r="F45" s="174" t="n">
        <x:f>IF(D45="","",MIN($E$11,MAX(0,($E$6-D45)*1440)))</x:f>
        <x:v>52.9</x:v>
      </x:c>
      <x:c r="G45" s="175" t="n">
        <x:f>IF(F45="","",ROUNDUP(F45*60/$B$16,0))</x:f>
        <x:v>23</x:v>
      </x:c>
      <x:c r="H45" s="174" t="n">
        <x:f>IF(G45="","",G45*$B$17)</x:f>
        <x:v>92</x:v>
      </x:c>
      <x:c r="I45" s="174" t="n">
        <x:f>IF(H45="","",MIN($E$7,H45+$B$18*$B$17))</x:f>
        <x:v>100</x:v>
      </x:c>
      <x:c r="J45" s="176"/>
    </x:row>
    <x:row r="46">
      <x:c r="A46" s="171" t="n">
        <x:v>22</x:v>
      </x:c>
      <x:c r="B46" s="172"/>
      <x:c r="C46" s="172"/>
      <x:c r="D46" s="173" t="n">
        <x:f>IF($A46&lt;=$E$12,E45+$B$20/86400,"")</x:f>
        <x:v>46215.35895833342</x:v>
      </x:c>
      <x:c r="E46" s="173" t="n">
        <x:f>IF(D46="","",MIN($E$6,D46+F46/1440))</x:f>
        <x:v>46215.39569444453</x:v>
      </x:c>
      <x:c r="F46" s="174" t="n">
        <x:f>IF(D46="","",MIN($E$11,MAX(0,($E$6-D46)*1440)))</x:f>
        <x:v>52.9</x:v>
      </x:c>
      <x:c r="G46" s="175" t="n">
        <x:f>IF(F46="","",ROUNDUP(F46*60/$B$16,0))</x:f>
        <x:v>23</x:v>
      </x:c>
      <x:c r="H46" s="174" t="n">
        <x:f>IF(G46="","",G46*$B$17)</x:f>
        <x:v>92</x:v>
      </x:c>
      <x:c r="I46" s="174" t="n">
        <x:f>IF(H46="","",MIN($E$7,H46+$B$18*$B$17))</x:f>
        <x:v>100</x:v>
      </x:c>
      <x:c r="J46" s="176"/>
    </x:row>
    <x:row r="47">
      <x:c r="A47" s="171" t="n">
        <x:v>23</x:v>
      </x:c>
      <x:c r="B47" s="172"/>
      <x:c r="C47" s="172"/>
      <x:c r="D47" s="173" t="n">
        <x:f>IF($A47&lt;=$E$12,E46+$B$20/86400,"")</x:f>
        <x:v>46215.39638888898</x:v>
      </x:c>
      <x:c r="E47" s="173" t="n">
        <x:f>IF(D47="","",MIN($E$6,D47+F47/1440))</x:f>
        <x:v>46215.43312500009</x:v>
      </x:c>
      <x:c r="F47" s="174" t="n">
        <x:f>IF(D47="","",MIN($E$11,MAX(0,($E$6-D47)*1440)))</x:f>
        <x:v>52.9</x:v>
      </x:c>
      <x:c r="G47" s="175" t="n">
        <x:f>IF(F47="","",ROUNDUP(F47*60/$B$16,0))</x:f>
        <x:v>23</x:v>
      </x:c>
      <x:c r="H47" s="174" t="n">
        <x:f>IF(G47="","",G47*$B$17)</x:f>
        <x:v>92</x:v>
      </x:c>
      <x:c r="I47" s="174" t="n">
        <x:f>IF(H47="","",MIN($E$7,H47+$B$18*$B$17))</x:f>
        <x:v>100</x:v>
      </x:c>
      <x:c r="J47" s="176"/>
    </x:row>
    <x:row r="48">
      <x:c r="A48" s="171" t="n">
        <x:v>24</x:v>
      </x:c>
      <x:c r="B48" s="172"/>
      <x:c r="C48" s="172"/>
      <x:c r="D48" s="173" t="n">
        <x:f>IF($A48&lt;=$E$12,E47+$B$20/86400,"")</x:f>
        <x:v>46215.43381944454</x:v>
      </x:c>
      <x:c r="E48" s="173" t="n">
        <x:f>IF(D48="","",MIN($E$6,D48+F48/1440))</x:f>
        <x:v>46215.47055555565</x:v>
      </x:c>
      <x:c r="F48" s="174" t="n">
        <x:f>IF(D48="","",MIN($E$11,MAX(0,($E$6-D48)*1440)))</x:f>
        <x:v>52.9</x:v>
      </x:c>
      <x:c r="G48" s="175" t="n">
        <x:f>IF(F48="","",ROUNDUP(F48*60/$B$16,0))</x:f>
        <x:v>23</x:v>
      </x:c>
      <x:c r="H48" s="174" t="n">
        <x:f>IF(G48="","",G48*$B$17)</x:f>
        <x:v>92</x:v>
      </x:c>
      <x:c r="I48" s="174" t="n">
        <x:f>IF(H48="","",MIN($E$7,H48+$B$18*$B$17))</x:f>
        <x:v>100</x:v>
      </x:c>
      <x:c r="J48" s="176"/>
    </x:row>
    <x:row r="49">
      <x:c r="A49" s="171" t="n">
        <x:v>25</x:v>
      </x:c>
      <x:c r="B49" s="172"/>
      <x:c r="C49" s="172"/>
      <x:c r="D49" s="173" t="n">
        <x:f>IF($A49&lt;=$E$12,E48+$B$20/86400,"")</x:f>
        <x:v>46215.4712500001</x:v>
      </x:c>
      <x:c r="E49" s="173" t="n">
        <x:f>IF(D49="","",MIN($E$6,D49+F49/1440))</x:f>
        <x:v>46215.50798611121</x:v>
      </x:c>
      <x:c r="F49" s="174" t="n">
        <x:f>IF(D49="","",MIN($E$11,MAX(0,($E$6-D49)*1440)))</x:f>
        <x:v>52.9</x:v>
      </x:c>
      <x:c r="G49" s="175" t="n">
        <x:f>IF(F49="","",ROUNDUP(F49*60/$B$16,0))</x:f>
        <x:v>23</x:v>
      </x:c>
      <x:c r="H49" s="174" t="n">
        <x:f>IF(G49="","",G49*$B$17)</x:f>
        <x:v>92</x:v>
      </x:c>
      <x:c r="I49" s="174" t="n">
        <x:f>IF(H49="","",MIN($E$7,H49+$B$18*$B$17))</x:f>
        <x:v>100</x:v>
      </x:c>
      <x:c r="J49" s="176"/>
    </x:row>
    <x:row r="50">
      <x:c r="A50" s="171" t="n">
        <x:v>26</x:v>
      </x:c>
      <x:c r="B50" s="172"/>
      <x:c r="C50" s="172"/>
      <x:c r="D50" s="173" t="n">
        <x:f>IF($A50&lt;=$E$12,E49+$B$20/86400,"")</x:f>
        <x:v>46215.50868055566</x:v>
      </x:c>
      <x:c r="E50" s="173" t="n">
        <x:f>IF(D50="","",MIN($E$6,D50+F50/1440))</x:f>
        <x:v>46215.54541666677</x:v>
      </x:c>
      <x:c r="F50" s="174" t="n">
        <x:f>IF(D50="","",MIN($E$11,MAX(0,($E$6-D50)*1440)))</x:f>
        <x:v>52.9</x:v>
      </x:c>
      <x:c r="G50" s="175" t="n">
        <x:f>IF(F50="","",ROUNDUP(F50*60/$B$16,0))</x:f>
        <x:v>23</x:v>
      </x:c>
      <x:c r="H50" s="174" t="n">
        <x:f>IF(G50="","",G50*$B$17)</x:f>
        <x:v>92</x:v>
      </x:c>
      <x:c r="I50" s="174" t="n">
        <x:f>IF(H50="","",MIN($E$7,H50+$B$18*$B$17))</x:f>
        <x:v>100</x:v>
      </x:c>
      <x:c r="J50" s="176"/>
    </x:row>
    <x:row r="51">
      <x:c r="A51" s="171" t="n">
        <x:v>27</x:v>
      </x:c>
      <x:c r="B51" s="172"/>
      <x:c r="C51" s="172"/>
      <x:c r="D51" s="173" t="n">
        <x:f>IF($A51&lt;=$E$12,E50+$B$20/86400,"")</x:f>
        <x:v>46215.546111111216</x:v>
      </x:c>
      <x:c r="E51" s="173" t="n">
        <x:f>IF(D51="","",MIN($E$6,D51+F51/1440))</x:f>
        <x:v>46215.572916666664</x:v>
      </x:c>
      <x:c r="F51" s="174" t="n">
        <x:f>IF(D51="","",MIN($E$11,MAX(0,($E$6-D51)*1440)))</x:f>
        <x:v>38.599999845027924</x:v>
      </x:c>
      <x:c r="G51" s="175" t="n">
        <x:f>IF(F51="","",ROUNDUP(F51*60/$B$16,0))</x:f>
        <x:v>17</x:v>
      </x:c>
      <x:c r="H51" s="174" t="n">
        <x:f>IF(G51="","",G51*$B$17)</x:f>
        <x:v>68</x:v>
      </x:c>
      <x:c r="I51" s="174" t="n">
        <x:f>IF(H51="","",MIN($E$7,H51+$B$18*$B$17))</x:f>
        <x:v>76</x:v>
      </x:c>
      <x:c r="J51" s="176"/>
    </x:row>
    <x:row r="52">
      <x:c r="A52" s="171" t="n">
        <x:v>28</x:v>
      </x:c>
      <x:c r="B52" s="172"/>
      <x:c r="C52" s="172"/>
      <x:c r="D52" s="173" t="str">
        <x:f>IF($A52&lt;=$E$12,E51+$B$20/86400,"")</x:f>
      </x:c>
      <x:c r="E52" s="173" t="str">
        <x:f>IF(D52="","",MIN($E$6,D52+F52/1440))</x:f>
      </x:c>
      <x:c r="F52" s="174" t="str">
        <x:f>IF(D52="","",MIN($E$11,MAX(0,($E$6-D52)*1440)))</x:f>
      </x:c>
      <x:c r="G52" s="175" t="str">
        <x:f>IF(F52="","",ROUNDUP(F52*60/$B$16,0))</x:f>
      </x:c>
      <x:c r="H52" s="174" t="str">
        <x:f>IF(G52="","",G52*$B$17)</x:f>
      </x:c>
      <x:c r="I52" s="174" t="str">
        <x:f>IF(H52="","",MIN($E$7,H52+$B$18*$B$17))</x:f>
      </x:c>
      <x:c r="J52" s="176"/>
    </x:row>
    <x:row r="53">
      <x:c r="A53" s="171" t="n">
        <x:v>29</x:v>
      </x:c>
      <x:c r="B53" s="172"/>
      <x:c r="C53" s="172"/>
      <x:c r="D53" s="173" t="str">
        <x:f>IF($A53&lt;=$E$12,E52+$B$20/86400,"")</x:f>
      </x:c>
      <x:c r="E53" s="173" t="str">
        <x:f>IF(D53="","",MIN($E$6,D53+F53/1440))</x:f>
      </x:c>
      <x:c r="F53" s="174" t="str">
        <x:f>IF(D53="","",MIN($E$11,MAX(0,($E$6-D53)*1440)))</x:f>
      </x:c>
      <x:c r="G53" s="175" t="str">
        <x:f>IF(F53="","",ROUNDUP(F53*60/$B$16,0))</x:f>
      </x:c>
      <x:c r="H53" s="174" t="str">
        <x:f>IF(G53="","",G53*$B$17)</x:f>
      </x:c>
      <x:c r="I53" s="174" t="str">
        <x:f>IF(H53="","",MIN($E$7,H53+$B$18*$B$17))</x:f>
      </x:c>
      <x:c r="J53" s="176"/>
    </x:row>
    <x:row r="54">
      <x:c r="A54" s="171" t="n">
        <x:v>30</x:v>
      </x:c>
      <x:c r="B54" s="172"/>
      <x:c r="C54" s="172"/>
      <x:c r="D54" s="173" t="str">
        <x:f>IF($A54&lt;=$E$12,E53+$B$20/86400,"")</x:f>
      </x:c>
      <x:c r="E54" s="173" t="str">
        <x:f>IF(D54="","",MIN($E$6,D54+F54/1440))</x:f>
      </x:c>
      <x:c r="F54" s="174" t="str">
        <x:f>IF(D54="","",MIN($E$11,MAX(0,($E$6-D54)*1440)))</x:f>
      </x:c>
      <x:c r="G54" s="175" t="str">
        <x:f>IF(F54="","",ROUNDUP(F54*60/$B$16,0))</x:f>
      </x:c>
      <x:c r="H54" s="174" t="str">
        <x:f>IF(G54="","",G54*$B$17)</x:f>
      </x:c>
      <x:c r="I54" s="174" t="str">
        <x:f>IF(H54="","",MIN($E$7,H54+$B$18*$B$17))</x:f>
      </x:c>
      <x:c r="J54" s="176"/>
    </x:row>
    <x:row r="55">
      <x:c r="A55" s="171" t="n">
        <x:v>31</x:v>
      </x:c>
      <x:c r="B55" s="172"/>
      <x:c r="C55" s="172"/>
      <x:c r="D55" s="173" t="str">
        <x:f>IF($A55&lt;=$E$12,E54+$B$20/86400,"")</x:f>
      </x:c>
      <x:c r="E55" s="173" t="str">
        <x:f>IF(D55="","",MIN($E$6,D55+F55/1440))</x:f>
      </x:c>
      <x:c r="F55" s="174" t="str">
        <x:f>IF(D55="","",MIN($E$11,MAX(0,($E$6-D55)*1440)))</x:f>
      </x:c>
      <x:c r="G55" s="175" t="str">
        <x:f>IF(F55="","",ROUNDUP(F55*60/$B$16,0))</x:f>
      </x:c>
      <x:c r="H55" s="174" t="str">
        <x:f>IF(G55="","",G55*$B$17)</x:f>
      </x:c>
      <x:c r="I55" s="174" t="str">
        <x:f>IF(H55="","",MIN($E$7,H55+$B$18*$B$17))</x:f>
      </x:c>
      <x:c r="J55" s="176"/>
    </x:row>
    <x:row r="56">
      <x:c r="A56" s="171" t="n">
        <x:v>32</x:v>
      </x:c>
      <x:c r="B56" s="172"/>
      <x:c r="C56" s="172"/>
      <x:c r="D56" s="173" t="str">
        <x:f>IF($A56&lt;=$E$12,E55+$B$20/86400,"")</x:f>
      </x:c>
      <x:c r="E56" s="173" t="str">
        <x:f>IF(D56="","",MIN($E$6,D56+F56/1440))</x:f>
      </x:c>
      <x:c r="F56" s="174" t="str">
        <x:f>IF(D56="","",MIN($E$11,MAX(0,($E$6-D56)*1440)))</x:f>
      </x:c>
      <x:c r="G56" s="175" t="str">
        <x:f>IF(F56="","",ROUNDUP(F56*60/$B$16,0))</x:f>
      </x:c>
      <x:c r="H56" s="174" t="str">
        <x:f>IF(G56="","",G56*$B$17)</x:f>
      </x:c>
      <x:c r="I56" s="174" t="str">
        <x:f>IF(H56="","",MIN($E$7,H56+$B$18*$B$17))</x:f>
      </x:c>
      <x:c r="J56" s="176"/>
    </x:row>
    <x:row r="57">
      <x:c r="A57" s="171" t="n">
        <x:v>33</x:v>
      </x:c>
      <x:c r="B57" s="172"/>
      <x:c r="C57" s="172"/>
      <x:c r="D57" s="173" t="str">
        <x:f>IF($A57&lt;=$E$12,E56+$B$20/86400,"")</x:f>
      </x:c>
      <x:c r="E57" s="173" t="str">
        <x:f>IF(D57="","",MIN($E$6,D57+F57/1440))</x:f>
      </x:c>
      <x:c r="F57" s="174" t="str">
        <x:f>IF(D57="","",MIN($E$11,MAX(0,($E$6-D57)*1440)))</x:f>
      </x:c>
      <x:c r="G57" s="175" t="str">
        <x:f>IF(F57="","",ROUNDUP(F57*60/$B$16,0))</x:f>
      </x:c>
      <x:c r="H57" s="174" t="str">
        <x:f>IF(G57="","",G57*$B$17)</x:f>
      </x:c>
      <x:c r="I57" s="174" t="str">
        <x:f>IF(H57="","",MIN($E$7,H57+$B$18*$B$17))</x:f>
      </x:c>
      <x:c r="J57" s="176"/>
    </x:row>
    <x:row r="58">
      <x:c r="A58" s="171" t="n">
        <x:v>34</x:v>
      </x:c>
      <x:c r="B58" s="172"/>
      <x:c r="C58" s="172"/>
      <x:c r="D58" s="173" t="str">
        <x:f>IF($A58&lt;=$E$12,E57+$B$20/86400,"")</x:f>
      </x:c>
      <x:c r="E58" s="173" t="str">
        <x:f>IF(D58="","",MIN($E$6,D58+F58/1440))</x:f>
      </x:c>
      <x:c r="F58" s="174" t="str">
        <x:f>IF(D58="","",MIN($E$11,MAX(0,($E$6-D58)*1440)))</x:f>
      </x:c>
      <x:c r="G58" s="175" t="str">
        <x:f>IF(F58="","",ROUNDUP(F58*60/$B$16,0))</x:f>
      </x:c>
      <x:c r="H58" s="174" t="str">
        <x:f>IF(G58="","",G58*$B$17)</x:f>
      </x:c>
      <x:c r="I58" s="174" t="str">
        <x:f>IF(H58="","",MIN($E$7,H58+$B$18*$B$17))</x:f>
      </x:c>
      <x:c r="J58" s="176"/>
    </x:row>
    <x:row r="59">
      <x:c r="A59" s="171" t="n">
        <x:v>35</x:v>
      </x:c>
      <x:c r="B59" s="172"/>
      <x:c r="C59" s="172"/>
      <x:c r="D59" s="173" t="str">
        <x:f>IF($A59&lt;=$E$12,E58+$B$20/86400,"")</x:f>
      </x:c>
      <x:c r="E59" s="173" t="str">
        <x:f>IF(D59="","",MIN($E$6,D59+F59/1440))</x:f>
      </x:c>
      <x:c r="F59" s="174" t="str">
        <x:f>IF(D59="","",MIN($E$11,MAX(0,($E$6-D59)*1440)))</x:f>
      </x:c>
      <x:c r="G59" s="175" t="str">
        <x:f>IF(F59="","",ROUNDUP(F59*60/$B$16,0))</x:f>
      </x:c>
      <x:c r="H59" s="174" t="str">
        <x:f>IF(G59="","",G59*$B$17)</x:f>
      </x:c>
      <x:c r="I59" s="174" t="str">
        <x:f>IF(H59="","",MIN($E$7,H59+$B$18*$B$17))</x:f>
      </x:c>
      <x:c r="J59" s="176"/>
    </x:row>
    <x:row r="60">
      <x:c r="A60" s="177" t="n">
        <x:v>36</x:v>
      </x:c>
      <x:c r="B60" s="178"/>
      <x:c r="C60" s="178"/>
      <x:c r="D60" s="179" t="str">
        <x:f>IF($A60&lt;=$E$12,E59+$B$20/86400,"")</x:f>
      </x:c>
      <x:c r="E60" s="179" t="str">
        <x:f>IF(D60="","",MIN($E$6,D60+F60/1440))</x:f>
      </x:c>
      <x:c r="F60" s="180" t="str">
        <x:f>IF(D60="","",MIN($E$11,MAX(0,($E$6-D60)*1440)))</x:f>
      </x:c>
      <x:c r="G60" s="181" t="str">
        <x:f>IF(F60="","",ROUNDUP(F60*60/$B$16,0))</x:f>
      </x:c>
      <x:c r="H60" s="180" t="str">
        <x:f>IF(G60="","",G60*$B$17)</x:f>
      </x:c>
      <x:c r="I60" s="180" t="str">
        <x:f>IF(H60="","",MIN($E$7,H60+$B$18*$B$17))</x:f>
      </x:c>
      <x:c r="J60" s="182"/>
    </x:row>
  </x:sheetData>
  <x:mergeCells>
    <x:mergeCell ref="A1:J1"/>
    <x:mergeCell ref="A2:J2"/>
    <x:mergeCell ref="A4:B4"/>
    <x:mergeCell ref="D4:E4"/>
    <x:mergeCell ref="G4:J4"/>
    <x:mergeCell ref="G5:J10"/>
    <x:mergeCell ref="G12:J12"/>
    <x:mergeCell ref="A23:J23"/>
  </x:mergeCells>
  <x:dataValidations count="40">
    <x:dataValidation type="list" sqref="B6">
      <x:formula1>"LMU,iRacing"</x:formula1>
    </x:dataValidation>
    <x:dataValidation type="list" sqref="B7">
      <x:formula1>IF($B$6="LMU",'Car Data'!$B$2:$B$31,'Car Data'!$B$32:$B$49)</x:formula1>
    </x:dataValidation>
    <x:dataValidation type="decimal" operator="between" sqref="B11">
      <x:formula1>0</x:formula1>
      <x:formula2>1000</x:formula2>
    </x:dataValidation>
    <x:dataValidation type="decimal" operator="between" sqref="B15:B20">
      <x:formula1>0</x:formula1>
      <x:formula2>100000</x:formula2>
    </x:dataValidation>
    <x:dataValidation type="list" sqref="B25:C25">
      <x:formula1>'Team &amp; Settings'!$E$4:$E$11</x:formula1>
    </x:dataValidation>
    <x:dataValidation type="list" sqref="B26:C26">
      <x:formula1>'Team &amp; Settings'!$E$4:$E$11</x:formula1>
    </x:dataValidation>
    <x:dataValidation type="list" sqref="B27:C27">
      <x:formula1>'Team &amp; Settings'!$E$4:$E$11</x:formula1>
    </x:dataValidation>
    <x:dataValidation type="list" sqref="B28:C28">
      <x:formula1>'Team &amp; Settings'!$E$4:$E$11</x:formula1>
    </x:dataValidation>
    <x:dataValidation type="list" sqref="B29:C29">
      <x:formula1>'Team &amp; Settings'!$E$4:$E$11</x:formula1>
    </x:dataValidation>
    <x:dataValidation type="list" sqref="B30:C30">
      <x:formula1>'Team &amp; Settings'!$E$4:$E$11</x:formula1>
    </x:dataValidation>
    <x:dataValidation type="list" sqref="B31:C31">
      <x:formula1>'Team &amp; Settings'!$E$4:$E$11</x:formula1>
    </x:dataValidation>
    <x:dataValidation type="list" sqref="B32:C32">
      <x:formula1>'Team &amp; Settings'!$E$4:$E$11</x:formula1>
    </x:dataValidation>
    <x:dataValidation type="list" sqref="B33:C33">
      <x:formula1>'Team &amp; Settings'!$E$4:$E$11</x:formula1>
    </x:dataValidation>
    <x:dataValidation type="list" sqref="B34:C34">
      <x:formula1>'Team &amp; Settings'!$E$4:$E$11</x:formula1>
    </x:dataValidation>
    <x:dataValidation type="list" sqref="B35:C35">
      <x:formula1>'Team &amp; Settings'!$E$4:$E$11</x:formula1>
    </x:dataValidation>
    <x:dataValidation type="list" sqref="B36:C36">
      <x:formula1>'Team &amp; Settings'!$E$4:$E$11</x:formula1>
    </x:dataValidation>
    <x:dataValidation type="list" sqref="B37:C37">
      <x:formula1>'Team &amp; Settings'!$E$4:$E$11</x:formula1>
    </x:dataValidation>
    <x:dataValidation type="list" sqref="B38:C38">
      <x:formula1>'Team &amp; Settings'!$E$4:$E$11</x:formula1>
    </x:dataValidation>
    <x:dataValidation type="list" sqref="B39:C39">
      <x:formula1>'Team &amp; Settings'!$E$4:$E$11</x:formula1>
    </x:dataValidation>
    <x:dataValidation type="list" sqref="B40:C40">
      <x:formula1>'Team &amp; Settings'!$E$4:$E$11</x:formula1>
    </x:dataValidation>
    <x:dataValidation type="list" sqref="B41:C41">
      <x:formula1>'Team &amp; Settings'!$E$4:$E$11</x:formula1>
    </x:dataValidation>
    <x:dataValidation type="list" sqref="B42:C42">
      <x:formula1>'Team &amp; Settings'!$E$4:$E$11</x:formula1>
    </x:dataValidation>
    <x:dataValidation type="list" sqref="B43:C43">
      <x:formula1>'Team &amp; Settings'!$E$4:$E$11</x:formula1>
    </x:dataValidation>
    <x:dataValidation type="list" sqref="B44:C44">
      <x:formula1>'Team &amp; Settings'!$E$4:$E$11</x:formula1>
    </x:dataValidation>
    <x:dataValidation type="list" sqref="B45:C45">
      <x:formula1>'Team &amp; Settings'!$E$4:$E$11</x:formula1>
    </x:dataValidation>
    <x:dataValidation type="list" sqref="B46:C46">
      <x:formula1>'Team &amp; Settings'!$E$4:$E$11</x:formula1>
    </x:dataValidation>
    <x:dataValidation type="list" sqref="B47:C47">
      <x:formula1>'Team &amp; Settings'!$E$4:$E$11</x:formula1>
    </x:dataValidation>
    <x:dataValidation type="list" sqref="B48:C48">
      <x:formula1>'Team &amp; Settings'!$E$4:$E$11</x:formula1>
    </x:dataValidation>
    <x:dataValidation type="list" sqref="B49:C49">
      <x:formula1>'Team &amp; Settings'!$E$4:$E$11</x:formula1>
    </x:dataValidation>
    <x:dataValidation type="list" sqref="B50:C50">
      <x:formula1>'Team &amp; Settings'!$E$4:$E$11</x:formula1>
    </x:dataValidation>
    <x:dataValidation type="list" sqref="B51:C51">
      <x:formula1>'Team &amp; Settings'!$E$4:$E$11</x:formula1>
    </x:dataValidation>
    <x:dataValidation type="list" sqref="B52:C52">
      <x:formula1>'Team &amp; Settings'!$E$4:$E$11</x:formula1>
    </x:dataValidation>
    <x:dataValidation type="list" sqref="B53:C53">
      <x:formula1>'Team &amp; Settings'!$E$4:$E$11</x:formula1>
    </x:dataValidation>
    <x:dataValidation type="list" sqref="B54:C54">
      <x:formula1>'Team &amp; Settings'!$E$4:$E$11</x:formula1>
    </x:dataValidation>
    <x:dataValidation type="list" sqref="B55:C55">
      <x:formula1>'Team &amp; Settings'!$E$4:$E$11</x:formula1>
    </x:dataValidation>
    <x:dataValidation type="list" sqref="B56:C56">
      <x:formula1>'Team &amp; Settings'!$E$4:$E$11</x:formula1>
    </x:dataValidation>
    <x:dataValidation type="list" sqref="B57:C57">
      <x:formula1>'Team &amp; Settings'!$E$4:$E$11</x:formula1>
    </x:dataValidation>
    <x:dataValidation type="list" sqref="B58:C58">
      <x:formula1>'Team &amp; Settings'!$E$4:$E$11</x:formula1>
    </x:dataValidation>
    <x:dataValidation type="list" sqref="B59:C59">
      <x:formula1>'Team &amp; Settings'!$E$4:$E$11</x:formula1>
    </x:dataValidation>
    <x:dataValidation type="list" sqref="B60:C60">
      <x:formula1>'Team &amp; Settings'!$E$4:$E$11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5" hidden="0" customWidth="1"/>
    <x:col min="4" max="4" width="12" hidden="0" customWidth="1"/>
    <x:col min="5" max="5" width="30" hidden="0" customWidth="1"/>
    <x:col min="6" max="6" width="5" hidden="0" customWidth="1"/>
    <x:col min="7" max="7" width="30" hidden="0" customWidth="1"/>
    <x:col min="8" max="8" width="18" hidden="0" customWidth="1"/>
  </x:cols>
  <x:sheetData>
    <x:row r="1">
      <x:c r="A1" s="190" t="str">
        <x:v>TEAM &amp; OPTIONAL SETTINGS</x:v>
      </x:c>
      <x:c r="B1" s="190"/>
      <x:c r="C1" s="190"/>
      <x:c r="D1" s="190"/>
      <x:c r="E1" s="190"/>
      <x:c r="F1" s="190"/>
      <x:c r="G1" s="190"/>
      <x:c r="H1" s="190"/>
    </x:row>
    <x:row r="2">
      <x:c r="A2" s="126"/>
      <x:c r="B2" s="126"/>
      <x:c r="C2" s="126"/>
      <x:c r="D2" s="126"/>
      <x:c r="E2" s="126"/>
      <x:c r="F2" s="126"/>
      <x:c r="G2" s="126"/>
      <x:c r="H2" s="126"/>
    </x:row>
    <x:row r="3">
      <x:c r="A3" s="127" t="str">
        <x:v>#</x:v>
      </x:c>
      <x:c r="B3" s="127" t="str">
        <x:v>Master driver list</x:v>
      </x:c>
      <x:c r="C3" s="126"/>
      <x:c r="D3" s="127" t="str">
        <x:v>Race slot</x:v>
      </x:c>
      <x:c r="E3" s="127" t="str">
        <x:v>Event roster</x:v>
      </x:c>
      <x:c r="F3" s="126"/>
      <x:c r="G3" s="127" t="str">
        <x:v>Optional reference</x:v>
      </x:c>
      <x:c r="H3" s="127" t="str">
        <x:v>Value</x:v>
      </x:c>
    </x:row>
    <x:row r="4">
      <x:c r="A4" s="191" t="n">
        <x:v>1</x:v>
      </x:c>
      <x:c r="B4" s="192" t="str">
        <x:v>Hayden Sweet</x:v>
      </x:c>
      <x:c r="C4" s="126"/>
      <x:c r="D4" s="191" t="n">
        <x:v>1</x:v>
      </x:c>
      <x:c r="E4" s="192" t="str">
        <x:v>Hayden Sweet</x:v>
      </x:c>
      <x:c r="F4" s="126"/>
      <x:c r="G4" s="191" t="str">
        <x:v>Refuelling rate (L/sec)</x:v>
      </x:c>
      <x:c r="H4" s="192" t="n">
        <x:v>2.55</x:v>
      </x:c>
    </x:row>
    <x:row r="5">
      <x:c r="A5" s="193" t="n">
        <x:v>2</x:v>
      </x:c>
      <x:c r="B5" s="194" t="str">
        <x:v>Stijn Donckerwolke</x:v>
      </x:c>
      <x:c r="C5" s="126"/>
      <x:c r="D5" s="193" t="n">
        <x:v>2</x:v>
      </x:c>
      <x:c r="E5" s="194" t="str">
        <x:v>Stijn Donckerwolke</x:v>
      </x:c>
      <x:c r="F5" s="126"/>
      <x:c r="G5" s="193" t="str">
        <x:v>Tyre change (secs)</x:v>
      </x:c>
      <x:c r="H5" s="194" t="n">
        <x:v>20</x:v>
      </x:c>
    </x:row>
    <x:row r="6">
      <x:c r="A6" s="193" t="n">
        <x:v>3</x:v>
      </x:c>
      <x:c r="B6" s="194" t="str">
        <x:v>Mitchell Sterrenberg</x:v>
      </x:c>
      <x:c r="C6" s="126"/>
      <x:c r="D6" s="193" t="n">
        <x:v>3</x:v>
      </x:c>
      <x:c r="E6" s="194" t="str">
        <x:v>Mitchell Sterrenberg</x:v>
      </x:c>
      <x:c r="F6" s="126"/>
      <x:c r="G6" s="193" t="str">
        <x:v>Max driver time (mins)</x:v>
      </x:c>
      <x:c r="H6" s="194" t="n">
        <x:v>480</x:v>
      </x:c>
    </x:row>
    <x:row r="7">
      <x:c r="A7" s="193" t="n">
        <x:v>4</x:v>
      </x:c>
      <x:c r="B7" s="194" t="str">
        <x:v>Lukas James</x:v>
      </x:c>
      <x:c r="C7" s="126"/>
      <x:c r="D7" s="193" t="n">
        <x:v>4</x:v>
      </x:c>
      <x:c r="E7" s="194" t="str">
        <x:v>Lukas James</x:v>
      </x:c>
      <x:c r="F7" s="126"/>
      <x:c r="G7" s="193" t="str">
        <x:v>Minimum rest (mins)</x:v>
      </x:c>
      <x:c r="H7" s="194" t="n">
        <x:v>0</x:v>
      </x:c>
    </x:row>
    <x:row r="8">
      <x:c r="A8" s="193" t="n">
        <x:v>5</x:v>
      </x:c>
      <x:c r="B8" s="194" t="str">
        <x:v>Konrad Wasowicz</x:v>
      </x:c>
      <x:c r="C8" s="126"/>
      <x:c r="D8" s="193" t="n">
        <x:v>5</x:v>
      </x:c>
      <x:c r="E8" s="194" t="str">
        <x:v>Konrad Wasowicz</x:v>
      </x:c>
      <x:c r="F8" s="126"/>
      <x:c r="G8" s="195" t="str">
        <x:v>Clock label</x:v>
      </x:c>
      <x:c r="H8" s="196" t="str">
        <x:v>Local</x:v>
      </x:c>
    </x:row>
    <x:row r="9">
      <x:c r="A9" s="193" t="n">
        <x:v>6</x:v>
      </x:c>
      <x:c r="B9" s="194" t="str">
        <x:v>Lukas Küthe</x:v>
      </x:c>
      <x:c r="C9" s="126"/>
      <x:c r="D9" s="193" t="n">
        <x:v>6</x:v>
      </x:c>
      <x:c r="E9" s="194" t="str"/>
      <x:c r="F9" s="126"/>
      <x:c r="G9" s="126"/>
      <x:c r="H9" s="126"/>
    </x:row>
    <x:row r="10">
      <x:c r="A10" s="193" t="n">
        <x:v>7</x:v>
      </x:c>
      <x:c r="B10" s="194" t="str">
        <x:v>Troy-Fraser McGonigal</x:v>
      </x:c>
      <x:c r="C10" s="126"/>
      <x:c r="D10" s="193" t="n">
        <x:v>7</x:v>
      </x:c>
      <x:c r="E10" s="194" t="str"/>
      <x:c r="F10" s="126"/>
      <x:c r="G10" s="126"/>
      <x:c r="H10" s="126"/>
    </x:row>
    <x:row r="11">
      <x:c r="A11" s="193" t="n">
        <x:v>8</x:v>
      </x:c>
      <x:c r="B11" s="194" t="str">
        <x:v>Jordan McGonigal</x:v>
      </x:c>
      <x:c r="C11" s="126"/>
      <x:c r="D11" s="195" t="n">
        <x:v>8</x:v>
      </x:c>
      <x:c r="E11" s="196" t="str"/>
      <x:c r="F11" s="126"/>
      <x:c r="G11" s="126"/>
      <x:c r="H11" s="126"/>
    </x:row>
    <x:row r="12">
      <x:c r="A12" s="193" t="n">
        <x:v>9</x:v>
      </x:c>
      <x:c r="B12" s="194" t="str"/>
      <x:c r="C12" s="126"/>
      <x:c r="D12" s="126"/>
      <x:c r="E12" s="126"/>
      <x:c r="F12" s="126"/>
      <x:c r="G12" s="126"/>
      <x:c r="H12" s="126"/>
    </x:row>
    <x:row r="13">
      <x:c r="A13" s="193" t="n">
        <x:v>10</x:v>
      </x:c>
      <x:c r="B13" s="194" t="str"/>
      <x:c r="C13" s="126"/>
      <x:c r="D13" s="197" t="str">
        <x:v>Choose only the drivers attending this event. The stint and stand-by dropdowns use this event roster, not the full team list.</x:v>
      </x:c>
      <x:c r="E13" s="197"/>
      <x:c r="F13" s="197"/>
      <x:c r="G13" s="197"/>
      <x:c r="H13" s="197"/>
    </x:row>
    <x:row r="14">
      <x:c r="A14" s="193" t="n">
        <x:v>11</x:v>
      </x:c>
      <x:c r="B14" s="194" t="str"/>
      <x:c r="C14" s="126"/>
      <x:c r="D14" s="126"/>
      <x:c r="E14" s="126"/>
      <x:c r="F14" s="126"/>
      <x:c r="G14" s="126"/>
      <x:c r="H14" s="126"/>
    </x:row>
    <x:row r="15">
      <x:c r="A15" s="193" t="n">
        <x:v>12</x:v>
      </x:c>
      <x:c r="B15" s="194" t="str"/>
      <x:c r="C15" s="126"/>
      <x:c r="D15" s="197" t="str">
        <x:v>Optional settings are retained from the reference sheet; the main schedule uses the measured pit-loss input to stay simple.</x:v>
      </x:c>
      <x:c r="E15" s="197"/>
      <x:c r="F15" s="197"/>
      <x:c r="G15" s="197"/>
      <x:c r="H15" s="197"/>
    </x:row>
    <x:row r="16">
      <x:c r="A16" s="193" t="n">
        <x:v>13</x:v>
      </x:c>
      <x:c r="B16" s="194" t="str"/>
      <x:c r="C16" s="126"/>
      <x:c r="D16" s="126"/>
      <x:c r="E16" s="126"/>
      <x:c r="F16" s="126"/>
      <x:c r="G16" s="126"/>
      <x:c r="H16" s="126"/>
    </x:row>
    <x:row r="17">
      <x:c r="A17" s="193" t="n">
        <x:v>14</x:v>
      </x:c>
      <x:c r="B17" s="194" t="str"/>
      <x:c r="C17" s="126"/>
      <x:c r="D17" s="126"/>
      <x:c r="E17" s="126"/>
      <x:c r="F17" s="126"/>
      <x:c r="G17" s="126"/>
      <x:c r="H17" s="126"/>
    </x:row>
    <x:row r="18">
      <x:c r="A18" s="193" t="n">
        <x:v>15</x:v>
      </x:c>
      <x:c r="B18" s="194" t="str"/>
      <x:c r="C18" s="126"/>
      <x:c r="D18" s="126"/>
      <x:c r="E18" s="126"/>
      <x:c r="F18" s="126"/>
      <x:c r="G18" s="126"/>
      <x:c r="H18" s="126"/>
    </x:row>
    <x:row r="19">
      <x:c r="A19" s="193" t="n">
        <x:v>16</x:v>
      </x:c>
      <x:c r="B19" s="194" t="str"/>
      <x:c r="C19" s="126"/>
      <x:c r="D19" s="126"/>
      <x:c r="E19" s="126"/>
      <x:c r="F19" s="126"/>
      <x:c r="G19" s="126"/>
      <x:c r="H19" s="126"/>
    </x:row>
    <x:row r="20">
      <x:c r="A20" s="193" t="n">
        <x:v>17</x:v>
      </x:c>
      <x:c r="B20" s="194" t="str"/>
      <x:c r="C20" s="126"/>
      <x:c r="D20" s="126"/>
      <x:c r="E20" s="126"/>
      <x:c r="F20" s="126"/>
      <x:c r="G20" s="126"/>
      <x:c r="H20" s="126"/>
    </x:row>
    <x:row r="21">
      <x:c r="A21" s="193" t="n">
        <x:v>18</x:v>
      </x:c>
      <x:c r="B21" s="194" t="str"/>
      <x:c r="C21" s="126"/>
      <x:c r="D21" s="126"/>
      <x:c r="E21" s="126"/>
      <x:c r="F21" s="126"/>
      <x:c r="G21" s="126"/>
      <x:c r="H21" s="126"/>
    </x:row>
    <x:row r="22">
      <x:c r="A22" s="193" t="n">
        <x:v>19</x:v>
      </x:c>
      <x:c r="B22" s="194" t="str"/>
      <x:c r="C22" s="126"/>
      <x:c r="D22" s="126"/>
      <x:c r="E22" s="126"/>
      <x:c r="F22" s="126"/>
      <x:c r="G22" s="126"/>
      <x:c r="H22" s="126"/>
    </x:row>
    <x:row r="23">
      <x:c r="A23" s="195" t="n">
        <x:v>20</x:v>
      </x:c>
      <x:c r="B23" s="196" t="str"/>
      <x:c r="C23" s="126"/>
      <x:c r="D23" s="126"/>
      <x:c r="E23" s="126"/>
      <x:c r="F23" s="126"/>
      <x:c r="G23" s="126"/>
      <x:c r="H23" s="126"/>
    </x:row>
  </x:sheetData>
  <x:mergeCells>
    <x:mergeCell ref="A1:H1"/>
    <x:mergeCell ref="D13:H13"/>
    <x:mergeCell ref="D15:H15"/>
  </x:mergeCells>
  <x:dataValidations count="1">
    <x:dataValidation type="list" sqref="E4:E11">
      <x:formula1>'Team &amp; Settings'!$B$4:$B$23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5" hidden="0" customWidth="1"/>
    <x:col min="4" max="4" width="24" hidden="0" customWidth="1"/>
    <x:col min="5" max="5" width="10" hidden="0" customWidth="1"/>
    <x:col min="6" max="6" width="72" hidden="0" customWidth="1"/>
    <x:col min="7" max="7" width="48" hidden="0" customWidth="1"/>
  </x:cols>
  <x:sheetData>
    <x:row r="1">
      <x:c r="A1" s="214" t="str">
        <x:v>Sim</x:v>
      </x:c>
      <x:c r="B1" s="214" t="str">
        <x:v>Car</x:v>
      </x:c>
      <x:c r="C1" s="214" t="str">
        <x:v>Class</x:v>
      </x:c>
      <x:c r="D1" s="214" t="str">
        <x:v>Reference capacity / limit</x:v>
      </x:c>
      <x:c r="E1" s="214" t="str">
        <x:v>Unit</x:v>
      </x:c>
      <x:c r="F1" s="214" t="str">
        <x:v>Source / scope</x:v>
      </x:c>
      <x:c r="G1" s="214" t="str">
        <x:v>Lookup key</x:v>
      </x:c>
    </x:row>
    <x:row r="2">
      <x:c r="A2" s="215" t="str">
        <x:v>LMU</x:v>
      </x:c>
      <x:c r="B2" s="216" t="str">
        <x:v>Alpine A424</x:v>
      </x:c>
      <x:c r="C2" s="216" t="str">
        <x:v>Hypercar</x:v>
      </x:c>
      <x:c r="D2" s="217" t="n">
        <x:v>913</x:v>
      </x:c>
      <x:c r="E2" s="216" t="str">
        <x:v>MJ</x:v>
      </x:c>
      <x:c r="F2" s="216" t="str">
        <x:v>https://lemansultimate.com/wp-content/uploads/2026/06/LMU_BOP_1.3.3_Marked-up.pdf</x:v>
      </x:c>
      <x:c r="G2" s="218" t="str">
        <x:f>A2&amp;"|"&amp;B2</x:f>
        <x:v>LMU|Alpine A424</x:v>
      </x:c>
    </x:row>
    <x:row r="3">
      <x:c r="A3" s="219" t="str">
        <x:v>LMU</x:v>
      </x:c>
      <x:c r="B3" s="220" t="str">
        <x:v>Aston Martin Valkyrie AMR-LMH</x:v>
      </x:c>
      <x:c r="C3" s="220" t="str">
        <x:v>Hypercar</x:v>
      </x:c>
      <x:c r="D3" s="221" t="n">
        <x:v>894</x:v>
      </x:c>
      <x:c r="E3" s="220" t="str">
        <x:v>MJ</x:v>
      </x:c>
      <x:c r="F3" s="220" t="str">
        <x:v>https://lemansultimate.com/wp-content/uploads/2026/06/LMU_BOP_1.3.3_Marked-up.pdf</x:v>
      </x:c>
      <x:c r="G3" s="222" t="str">
        <x:f>A3&amp;"|"&amp;B3</x:f>
        <x:v>LMU|Aston Martin Valkyrie AMR-LMH</x:v>
      </x:c>
    </x:row>
    <x:row r="4">
      <x:c r="A4" s="219" t="str">
        <x:v>LMU</x:v>
      </x:c>
      <x:c r="B4" s="220" t="str">
        <x:v>BMW M Hybrid V8</x:v>
      </x:c>
      <x:c r="C4" s="220" t="str">
        <x:v>Hypercar</x:v>
      </x:c>
      <x:c r="D4" s="221" t="n">
        <x:v>905</x:v>
      </x:c>
      <x:c r="E4" s="220" t="str">
        <x:v>MJ</x:v>
      </x:c>
      <x:c r="F4" s="220" t="str">
        <x:v>https://lemansultimate.com/wp-content/uploads/2026/06/LMU_BOP_1.3.3_Marked-up.pdf</x:v>
      </x:c>
      <x:c r="G4" s="222" t="str">
        <x:f>A4&amp;"|"&amp;B4</x:f>
        <x:v>LMU|BMW M Hybrid V8</x:v>
      </x:c>
    </x:row>
    <x:row r="5">
      <x:c r="A5" s="219" t="str">
        <x:v>LMU</x:v>
      </x:c>
      <x:c r="B5" s="220" t="str">
        <x:v>Cadillac V-Series.R</x:v>
      </x:c>
      <x:c r="C5" s="220" t="str">
        <x:v>Hypercar</x:v>
      </x:c>
      <x:c r="D5" s="221" t="n">
        <x:v>904</x:v>
      </x:c>
      <x:c r="E5" s="220" t="str">
        <x:v>MJ</x:v>
      </x:c>
      <x:c r="F5" s="220" t="str">
        <x:v>https://lemansultimate.com/wp-content/uploads/2026/06/LMU_BOP_1.3.3_Marked-up.pdf</x:v>
      </x:c>
      <x:c r="G5" s="222" t="str">
        <x:f>A5&amp;"|"&amp;B5</x:f>
        <x:v>LMU|Cadillac V-Series.R</x:v>
      </x:c>
    </x:row>
    <x:row r="6">
      <x:c r="A6" s="219" t="str">
        <x:v>LMU</x:v>
      </x:c>
      <x:c r="B6" s="220" t="str">
        <x:v>Ferrari 499P</x:v>
      </x:c>
      <x:c r="C6" s="220" t="str">
        <x:v>Hypercar</x:v>
      </x:c>
      <x:c r="D6" s="221" t="n">
        <x:v>890</x:v>
      </x:c>
      <x:c r="E6" s="220" t="str">
        <x:v>MJ</x:v>
      </x:c>
      <x:c r="F6" s="220" t="str">
        <x:v>https://lemansultimate.com/wp-content/uploads/2026/06/LMU_BOP_1.3.3_Marked-up.pdf</x:v>
      </x:c>
      <x:c r="G6" s="222" t="str">
        <x:f>A6&amp;"|"&amp;B6</x:f>
        <x:v>LMU|Ferrari 499P</x:v>
      </x:c>
    </x:row>
    <x:row r="7">
      <x:c r="A7" s="219" t="str">
        <x:v>LMU</x:v>
      </x:c>
      <x:c r="B7" s="220" t="str">
        <x:v>Genesis GMR-001</x:v>
      </x:c>
      <x:c r="C7" s="220" t="str">
        <x:v>Hypercar</x:v>
      </x:c>
      <x:c r="D7" s="221" t="n">
        <x:v>913</x:v>
      </x:c>
      <x:c r="E7" s="220" t="str">
        <x:v>MJ</x:v>
      </x:c>
      <x:c r="F7" s="220" t="str">
        <x:v>https://lemansultimate.com/wp-content/uploads/2026/06/LMU_BOP_1.3.3_Marked-up.pdf</x:v>
      </x:c>
      <x:c r="G7" s="222" t="str">
        <x:f>A7&amp;"|"&amp;B7</x:f>
        <x:v>LMU|Genesis GMR-001</x:v>
      </x:c>
    </x:row>
    <x:row r="8">
      <x:c r="A8" s="219" t="str">
        <x:v>LMU</x:v>
      </x:c>
      <x:c r="B8" s="220" t="str">
        <x:v>Glickenhaus SCG 007</x:v>
      </x:c>
      <x:c r="C8" s="220" t="str">
        <x:v>Hypercar</x:v>
      </x:c>
      <x:c r="D8" s="221" t="n">
        <x:v>913</x:v>
      </x:c>
      <x:c r="E8" s="220" t="str">
        <x:v>MJ</x:v>
      </x:c>
      <x:c r="F8" s="220" t="str">
        <x:v>https://lemansultimate.com/wp-content/uploads/2026/06/LMU_BOP_1.3.3_Marked-up.pdf</x:v>
      </x:c>
      <x:c r="G8" s="222" t="str">
        <x:f>A8&amp;"|"&amp;B8</x:f>
        <x:v>LMU|Glickenhaus SCG 007</x:v>
      </x:c>
    </x:row>
    <x:row r="9">
      <x:c r="A9" s="219" t="str">
        <x:v>LMU</x:v>
      </x:c>
      <x:c r="B9" s="220" t="str">
        <x:v>Isotta Fraschini Tipo 6</x:v>
      </x:c>
      <x:c r="C9" s="220" t="str">
        <x:v>Hypercar</x:v>
      </x:c>
      <x:c r="D9" s="221" t="n">
        <x:v>923</x:v>
      </x:c>
      <x:c r="E9" s="220" t="str">
        <x:v>MJ</x:v>
      </x:c>
      <x:c r="F9" s="220" t="str">
        <x:v>https://lemansultimate.com/wp-content/uploads/2026/06/LMU_BOP_1.3.3_Marked-up.pdf</x:v>
      </x:c>
      <x:c r="G9" s="222" t="str">
        <x:f>A9&amp;"|"&amp;B9</x:f>
        <x:v>LMU|Isotta Fraschini Tipo 6</x:v>
      </x:c>
    </x:row>
    <x:row r="10">
      <x:c r="A10" s="219" t="str">
        <x:v>LMU</x:v>
      </x:c>
      <x:c r="B10" s="220" t="str">
        <x:v>Lamborghini SC63</x:v>
      </x:c>
      <x:c r="C10" s="220" t="str">
        <x:v>Hypercar</x:v>
      </x:c>
      <x:c r="D10" s="221" t="n">
        <x:v>908</x:v>
      </x:c>
      <x:c r="E10" s="220" t="str">
        <x:v>MJ</x:v>
      </x:c>
      <x:c r="F10" s="220" t="str">
        <x:v>https://lemansultimate.com/wp-content/uploads/2026/06/LMU_BOP_1.3.3_Marked-up.pdf</x:v>
      </x:c>
      <x:c r="G10" s="222" t="str">
        <x:f>A10&amp;"|"&amp;B10</x:f>
        <x:v>LMU|Lamborghini SC63</x:v>
      </x:c>
    </x:row>
    <x:row r="11">
      <x:c r="A11" s="219" t="str">
        <x:v>LMU</x:v>
      </x:c>
      <x:c r="B11" s="220" t="str">
        <x:v>Peugeot 9X8</x:v>
      </x:c>
      <x:c r="C11" s="220" t="str">
        <x:v>Hypercar</x:v>
      </x:c>
      <x:c r="D11" s="221" t="n">
        <x:v>894</x:v>
      </x:c>
      <x:c r="E11" s="220" t="str">
        <x:v>MJ</x:v>
      </x:c>
      <x:c r="F11" s="220" t="str">
        <x:v>https://lemansultimate.com/wp-content/uploads/2026/06/LMU_BOP_1.3.3_Marked-up.pdf</x:v>
      </x:c>
      <x:c r="G11" s="222" t="str">
        <x:f>A11&amp;"|"&amp;B11</x:f>
        <x:v>LMU|Peugeot 9X8</x:v>
      </x:c>
    </x:row>
    <x:row r="12">
      <x:c r="A12" s="219" t="str">
        <x:v>LMU</x:v>
      </x:c>
      <x:c r="B12" s="220" t="str">
        <x:v>Peugeot 9X8 Evo</x:v>
      </x:c>
      <x:c r="C12" s="220" t="str">
        <x:v>Hypercar</x:v>
      </x:c>
      <x:c r="D12" s="221" t="n">
        <x:v>885</x:v>
      </x:c>
      <x:c r="E12" s="220" t="str">
        <x:v>MJ</x:v>
      </x:c>
      <x:c r="F12" s="220" t="str">
        <x:v>https://lemansultimate.com/wp-content/uploads/2026/06/LMU_BOP_1.3.3_Marked-up.pdf</x:v>
      </x:c>
      <x:c r="G12" s="222" t="str">
        <x:f>A12&amp;"|"&amp;B12</x:f>
        <x:v>LMU|Peugeot 9X8 Evo</x:v>
      </x:c>
    </x:row>
    <x:row r="13">
      <x:c r="A13" s="219" t="str">
        <x:v>LMU</x:v>
      </x:c>
      <x:c r="B13" s="220" t="str">
        <x:v>Porsche 963</x:v>
      </x:c>
      <x:c r="C13" s="220" t="str">
        <x:v>Hypercar</x:v>
      </x:c>
      <x:c r="D13" s="221" t="n">
        <x:v>910</x:v>
      </x:c>
      <x:c r="E13" s="220" t="str">
        <x:v>MJ</x:v>
      </x:c>
      <x:c r="F13" s="220" t="str">
        <x:v>https://lemansultimate.com/wp-content/uploads/2026/06/LMU_BOP_1.3.3_Marked-up.pdf</x:v>
      </x:c>
      <x:c r="G13" s="222" t="str">
        <x:f>A13&amp;"|"&amp;B13</x:f>
        <x:v>LMU|Porsche 963</x:v>
      </x:c>
    </x:row>
    <x:row r="14">
      <x:c r="A14" s="219" t="str">
        <x:v>LMU</x:v>
      </x:c>
      <x:c r="B14" s="220" t="str">
        <x:v>Toyota GR010-Hybrid</x:v>
      </x:c>
      <x:c r="C14" s="220" t="str">
        <x:v>Hypercar</x:v>
      </x:c>
      <x:c r="D14" s="221" t="n">
        <x:v>900</x:v>
      </x:c>
      <x:c r="E14" s="220" t="str">
        <x:v>MJ</x:v>
      </x:c>
      <x:c r="F14" s="220" t="str">
        <x:v>https://lemansultimate.com/wp-content/uploads/2026/06/LMU_BOP_1.3.3_Marked-up.pdf</x:v>
      </x:c>
      <x:c r="G14" s="222" t="str">
        <x:f>A14&amp;"|"&amp;B14</x:f>
        <x:v>LMU|Toyota GR010-Hybrid</x:v>
      </x:c>
    </x:row>
    <x:row r="15">
      <x:c r="A15" s="219" t="str">
        <x:v>LMU</x:v>
      </x:c>
      <x:c r="B15" s="220" t="str">
        <x:v>Vanwall Vandervell 680</x:v>
      </x:c>
      <x:c r="C15" s="220" t="str">
        <x:v>Hypercar</x:v>
      </x:c>
      <x:c r="D15" s="221" t="n">
        <x:v>920</x:v>
      </x:c>
      <x:c r="E15" s="220" t="str">
        <x:v>MJ</x:v>
      </x:c>
      <x:c r="F15" s="220" t="str">
        <x:v>https://lemansultimate.com/wp-content/uploads/2026/06/LMU_BOP_1.3.3_Marked-up.pdf</x:v>
      </x:c>
      <x:c r="G15" s="222" t="str">
        <x:f>A15&amp;"|"&amp;B15</x:f>
        <x:v>LMU|Vanwall Vandervell 680</x:v>
      </x:c>
    </x:row>
    <x:row r="16">
      <x:c r="A16" s="219" t="str">
        <x:v>LMU</x:v>
      </x:c>
      <x:c r="B16" s="220" t="str">
        <x:v>Aston Martin Vantage AMR LMGT3</x:v>
      </x:c>
      <x:c r="C16" s="220" t="str">
        <x:v>LMGT3</x:v>
      </x:c>
      <x:c r="D16" s="221" t="n">
        <x:v>675</x:v>
      </x:c>
      <x:c r="E16" s="220" t="str">
        <x:v>MJ</x:v>
      </x:c>
      <x:c r="F16" s="220" t="str">
        <x:v>https://lemansultimate.com/wp-content/uploads/2026/06/LMU_BOP_1.3.3_Marked-up.pdf</x:v>
      </x:c>
      <x:c r="G16" s="222" t="str">
        <x:f>A16&amp;"|"&amp;B16</x:f>
        <x:v>LMU|Aston Martin Vantage AMR LMGT3</x:v>
      </x:c>
    </x:row>
    <x:row r="17">
      <x:c r="A17" s="219" t="str">
        <x:v>LMU</x:v>
      </x:c>
      <x:c r="B17" s="220" t="str">
        <x:v>BMW M4 LMGT3</x:v>
      </x:c>
      <x:c r="C17" s="220" t="str">
        <x:v>LMGT3</x:v>
      </x:c>
      <x:c r="D17" s="221" t="n">
        <x:v>668</x:v>
      </x:c>
      <x:c r="E17" s="220" t="str">
        <x:v>MJ</x:v>
      </x:c>
      <x:c r="F17" s="220" t="str">
        <x:v>https://lemansultimate.com/wp-content/uploads/2026/06/LMU_BOP_1.3.3_Marked-up.pdf</x:v>
      </x:c>
      <x:c r="G17" s="222" t="str">
        <x:f>A17&amp;"|"&amp;B17</x:f>
        <x:v>LMU|BMW M4 LMGT3</x:v>
      </x:c>
    </x:row>
    <x:row r="18">
      <x:c r="A18" s="219" t="str">
        <x:v>LMU</x:v>
      </x:c>
      <x:c r="B18" s="220" t="str">
        <x:v>Chevrolet Corvette Z06 LMGT3.R</x:v>
      </x:c>
      <x:c r="C18" s="220" t="str">
        <x:v>LMGT3</x:v>
      </x:c>
      <x:c r="D18" s="221" t="n">
        <x:v>703</x:v>
      </x:c>
      <x:c r="E18" s="220" t="str">
        <x:v>MJ</x:v>
      </x:c>
      <x:c r="F18" s="220" t="str">
        <x:v>https://lemansultimate.com/wp-content/uploads/2026/06/LMU_BOP_1.3.3_Marked-up.pdf</x:v>
      </x:c>
      <x:c r="G18" s="222" t="str">
        <x:f>A18&amp;"|"&amp;B18</x:f>
        <x:v>LMU|Chevrolet Corvette Z06 LMGT3.R</x:v>
      </x:c>
    </x:row>
    <x:row r="19">
      <x:c r="A19" s="219" t="str">
        <x:v>LMU</x:v>
      </x:c>
      <x:c r="B19" s="220" t="str">
        <x:v>Ferrari 296 LMGT3</x:v>
      </x:c>
      <x:c r="C19" s="220" t="str">
        <x:v>LMGT3</x:v>
      </x:c>
      <x:c r="D19" s="221" t="n">
        <x:v>672</x:v>
      </x:c>
      <x:c r="E19" s="220" t="str">
        <x:v>MJ</x:v>
      </x:c>
      <x:c r="F19" s="220" t="str">
        <x:v>https://lemansultimate.com/wp-content/uploads/2026/06/LMU_BOP_1.3.3_Marked-up.pdf</x:v>
      </x:c>
      <x:c r="G19" s="222" t="str">
        <x:f>A19&amp;"|"&amp;B19</x:f>
        <x:v>LMU|Ferrari 296 LMGT3</x:v>
      </x:c>
    </x:row>
    <x:row r="20">
      <x:c r="A20" s="219" t="str">
        <x:v>LMU</x:v>
      </x:c>
      <x:c r="B20" s="220" t="str">
        <x:v>Ford Mustang LMGT3</x:v>
      </x:c>
      <x:c r="C20" s="220" t="str">
        <x:v>LMGT3</x:v>
      </x:c>
      <x:c r="D20" s="221" t="n">
        <x:v>711</x:v>
      </x:c>
      <x:c r="E20" s="220" t="str">
        <x:v>MJ</x:v>
      </x:c>
      <x:c r="F20" s="220" t="str">
        <x:v>https://lemansultimate.com/wp-content/uploads/2026/06/LMU_BOP_1.3.3_Marked-up.pdf</x:v>
      </x:c>
      <x:c r="G20" s="222" t="str">
        <x:f>A20&amp;"|"&amp;B20</x:f>
        <x:v>LMU|Ford Mustang LMGT3</x:v>
      </x:c>
    </x:row>
    <x:row r="21">
      <x:c r="A21" s="219" t="str">
        <x:v>LMU</x:v>
      </x:c>
      <x:c r="B21" s="220" t="str">
        <x:v>Lamborghini Huracan LMGT3 Evo2</x:v>
      </x:c>
      <x:c r="C21" s="220" t="str">
        <x:v>LMGT3</x:v>
      </x:c>
      <x:c r="D21" s="221" t="n">
        <x:v>684</x:v>
      </x:c>
      <x:c r="E21" s="220" t="str">
        <x:v>MJ</x:v>
      </x:c>
      <x:c r="F21" s="220" t="str">
        <x:v>https://lemansultimate.com/wp-content/uploads/2026/06/LMU_BOP_1.3.3_Marked-up.pdf</x:v>
      </x:c>
      <x:c r="G21" s="222" t="str">
        <x:f>A21&amp;"|"&amp;B21</x:f>
        <x:v>LMU|Lamborghini Huracan LMGT3 Evo2</x:v>
      </x:c>
    </x:row>
    <x:row r="22">
      <x:c r="A22" s="219" t="str">
        <x:v>LMU</x:v>
      </x:c>
      <x:c r="B22" s="220" t="str">
        <x:v>Lexus RC F LMGT3</x:v>
      </x:c>
      <x:c r="C22" s="220" t="str">
        <x:v>LMGT3</x:v>
      </x:c>
      <x:c r="D22" s="221" t="n">
        <x:v>666</x:v>
      </x:c>
      <x:c r="E22" s="220" t="str">
        <x:v>MJ</x:v>
      </x:c>
      <x:c r="F22" s="220" t="str">
        <x:v>https://lemansultimate.com/wp-content/uploads/2026/06/LMU_BOP_1.3.3_Marked-up.pdf</x:v>
      </x:c>
      <x:c r="G22" s="222" t="str">
        <x:f>A22&amp;"|"&amp;B22</x:f>
        <x:v>LMU|Lexus RC F LMGT3</x:v>
      </x:c>
    </x:row>
    <x:row r="23">
      <x:c r="A23" s="219" t="str">
        <x:v>LMU</x:v>
      </x:c>
      <x:c r="B23" s="220" t="str">
        <x:v>McLaren 720S LMGT3 Evo</x:v>
      </x:c>
      <x:c r="C23" s="220" t="str">
        <x:v>LMGT3</x:v>
      </x:c>
      <x:c r="D23" s="221" t="n">
        <x:v>673</x:v>
      </x:c>
      <x:c r="E23" s="220" t="str">
        <x:v>MJ</x:v>
      </x:c>
      <x:c r="F23" s="220" t="str">
        <x:v>https://lemansultimate.com/wp-content/uploads/2026/06/LMU_BOP_1.3.3_Marked-up.pdf</x:v>
      </x:c>
      <x:c r="G23" s="222" t="str">
        <x:f>A23&amp;"|"&amp;B23</x:f>
        <x:v>LMU|McLaren 720S LMGT3 Evo</x:v>
      </x:c>
    </x:row>
    <x:row r="24">
      <x:c r="A24" s="219" t="str">
        <x:v>LMU</x:v>
      </x:c>
      <x:c r="B24" s="220" t="str">
        <x:v>Mercedes-AMG LMGT3</x:v>
      </x:c>
      <x:c r="C24" s="220" t="str">
        <x:v>LMGT3</x:v>
      </x:c>
      <x:c r="D24" s="221" t="n">
        <x:v>666</x:v>
      </x:c>
      <x:c r="E24" s="220" t="str">
        <x:v>MJ</x:v>
      </x:c>
      <x:c r="F24" s="220" t="str">
        <x:v>https://lemansultimate.com/wp-content/uploads/2026/06/LMU_BOP_1.3.3_Marked-up.pdf</x:v>
      </x:c>
      <x:c r="G24" s="222" t="str">
        <x:f>A24&amp;"|"&amp;B24</x:f>
        <x:v>LMU|Mercedes-AMG LMGT3</x:v>
      </x:c>
    </x:row>
    <x:row r="25">
      <x:c r="A25" s="219" t="str">
        <x:v>LMU</x:v>
      </x:c>
      <x:c r="B25" s="220" t="str">
        <x:v>Porsche 911 GT3 R LMGT3</x:v>
      </x:c>
      <x:c r="C25" s="220" t="str">
        <x:v>LMGT3</x:v>
      </x:c>
      <x:c r="D25" s="221" t="n">
        <x:v>671</x:v>
      </x:c>
      <x:c r="E25" s="220" t="str">
        <x:v>MJ</x:v>
      </x:c>
      <x:c r="F25" s="220" t="str">
        <x:v>https://lemansultimate.com/wp-content/uploads/2026/06/LMU_BOP_1.3.3_Marked-up.pdf</x:v>
      </x:c>
      <x:c r="G25" s="222" t="str">
        <x:f>A25&amp;"|"&amp;B25</x:f>
        <x:v>LMU|Porsche 911 GT3 R LMGT3</x:v>
      </x:c>
    </x:row>
    <x:row r="26">
      <x:c r="A26" s="219" t="str">
        <x:v>LMU</x:v>
      </x:c>
      <x:c r="B26" s="220" t="str">
        <x:v>Oreca 07 Gibson (WEC)</x:v>
      </x:c>
      <x:c r="C26" s="220" t="str">
        <x:v>LMP2</x:v>
      </x:c>
      <x:c r="D26" s="221" t="n">
        <x:v>63</x:v>
      </x:c>
      <x:c r="E26" s="220" t="str">
        <x:v>L</x:v>
      </x:c>
      <x:c r="F26" s="220" t="str">
        <x:v>https://lemansultimate.com/wp-content/uploads/2026/06/LMU_BOP_1.3.3_Marked-up.pdf</x:v>
      </x:c>
      <x:c r="G26" s="222" t="str">
        <x:f>A26&amp;"|"&amp;B26</x:f>
        <x:v>LMU|Oreca 07 Gibson (WEC)</x:v>
      </x:c>
    </x:row>
    <x:row r="27">
      <x:c r="A27" s="219" t="str">
        <x:v>LMU</x:v>
      </x:c>
      <x:c r="B27" s="220" t="str">
        <x:v>Aston Martin Vantage GTE</x:v>
      </x:c>
      <x:c r="C27" s="220" t="str">
        <x:v>GTE</x:v>
      </x:c>
      <x:c r="D27" s="221" t="n">
        <x:v>97</x:v>
      </x:c>
      <x:c r="E27" s="220" t="str">
        <x:v>L</x:v>
      </x:c>
      <x:c r="F27" s="220" t="str">
        <x:v>https://lemansultimate.com/wp-content/uploads/2026/06/LMU_BOP_1.3.3_Marked-up.pdf</x:v>
      </x:c>
      <x:c r="G27" s="222" t="str">
        <x:f>A27&amp;"|"&amp;B27</x:f>
        <x:v>LMU|Aston Martin Vantage GTE</x:v>
      </x:c>
    </x:row>
    <x:row r="28">
      <x:c r="A28" s="219" t="str">
        <x:v>LMU</x:v>
      </x:c>
      <x:c r="B28" s="220" t="str">
        <x:v>Chevrolet Corvette C8.R</x:v>
      </x:c>
      <x:c r="C28" s="220" t="str">
        <x:v>GTE</x:v>
      </x:c>
      <x:c r="D28" s="221" t="n">
        <x:v>91</x:v>
      </x:c>
      <x:c r="E28" s="220" t="str">
        <x:v>L</x:v>
      </x:c>
      <x:c r="F28" s="220" t="str">
        <x:v>https://lemansultimate.com/wp-content/uploads/2026/06/LMU_BOP_1.3.3_Marked-up.pdf</x:v>
      </x:c>
      <x:c r="G28" s="222" t="str">
        <x:f>A28&amp;"|"&amp;B28</x:f>
        <x:v>LMU|Chevrolet Corvette C8.R</x:v>
      </x:c>
    </x:row>
    <x:row r="29">
      <x:c r="A29" s="219" t="str">
        <x:v>LMU</x:v>
      </x:c>
      <x:c r="B29" s="220" t="str">
        <x:v>Ferrari 488 GTE Evo</x:v>
      </x:c>
      <x:c r="C29" s="220" t="str">
        <x:v>GTE</x:v>
      </x:c>
      <x:c r="D29" s="221" t="n">
        <x:v>84</x:v>
      </x:c>
      <x:c r="E29" s="220" t="str">
        <x:v>L</x:v>
      </x:c>
      <x:c r="F29" s="220" t="str">
        <x:v>https://lemansultimate.com/wp-content/uploads/2026/06/LMU_BOP_1.3.3_Marked-up.pdf</x:v>
      </x:c>
      <x:c r="G29" s="222" t="str">
        <x:f>A29&amp;"|"&amp;B29</x:f>
        <x:v>LMU|Ferrari 488 GTE Evo</x:v>
      </x:c>
    </x:row>
    <x:row r="30">
      <x:c r="A30" s="219" t="str">
        <x:v>LMU</x:v>
      </x:c>
      <x:c r="B30" s="220" t="str">
        <x:v>Porsche 911 RSR-19</x:v>
      </x:c>
      <x:c r="C30" s="220" t="str">
        <x:v>GTE</x:v>
      </x:c>
      <x:c r="D30" s="221" t="n">
        <x:v>99</x:v>
      </x:c>
      <x:c r="E30" s="220" t="str">
        <x:v>L</x:v>
      </x:c>
      <x:c r="F30" s="220" t="str">
        <x:v>https://lemansultimate.com/wp-content/uploads/2026/06/LMU_BOP_1.3.3_Marked-up.pdf</x:v>
      </x:c>
      <x:c r="G30" s="222" t="str">
        <x:f>A30&amp;"|"&amp;B30</x:f>
        <x:v>LMU|Porsche 911 RSR-19</x:v>
      </x:c>
    </x:row>
    <x:row r="31">
      <x:c r="A31" s="219" t="str">
        <x:v>LMU</x:v>
      </x:c>
      <x:c r="B31" s="220" t="str">
        <x:v>Oreca 07 Gibson (ELMS)</x:v>
      </x:c>
      <x:c r="C31" s="220" t="str">
        <x:v>LMP2</x:v>
      </x:c>
      <x:c r="D31" s="221" t="n">
        <x:v>75</x:v>
      </x:c>
      <x:c r="E31" s="220" t="str">
        <x:v>L</x:v>
      </x:c>
      <x:c r="F31" s="220" t="str">
        <x:v>https://lemansultimate.com/wp-content/uploads/2026/06/LMU_BOP_1.3.3_Marked-up.pdf</x:v>
      </x:c>
      <x:c r="G31" s="222" t="str">
        <x:f>A31&amp;"|"&amp;B31</x:f>
        <x:v>LMU|Oreca 07 Gibson (ELMS)</x:v>
      </x:c>
    </x:row>
    <x:row r="32">
      <x:c r="A32" s="223" t="str">
        <x:v>iRacing</x:v>
      </x:c>
      <x:c r="B32" s="224" t="str">
        <x:v>Acura NSX GT3 EVO 22</x:v>
      </x:c>
      <x:c r="C32" s="224" t="str">
        <x:v>GT3</x:v>
      </x:c>
      <x:c r="D32" s="225"/>
      <x:c r="E32" s="224" t="str">
        <x:v>L</x:v>
      </x:c>
      <x:c r="F32" s="224" t="str">
        <x:v>https://www.iracing.com/cars/</x:v>
      </x:c>
      <x:c r="G32" s="226" t="str">
        <x:f>A32&amp;"|"&amp;B32</x:f>
        <x:v>iRacing|Acura NSX GT3 EVO 22</x:v>
      </x:c>
    </x:row>
    <x:row r="33">
      <x:c r="A33" s="223" t="str">
        <x:v>iRacing</x:v>
      </x:c>
      <x:c r="B33" s="224" t="str">
        <x:v>Aston Martin Vantage GT3 EVO</x:v>
      </x:c>
      <x:c r="C33" s="224" t="str">
        <x:v>GT3</x:v>
      </x:c>
      <x:c r="D33" s="225"/>
      <x:c r="E33" s="224" t="str">
        <x:v>L</x:v>
      </x:c>
      <x:c r="F33" s="224" t="str">
        <x:v>https://www.iracing.com/cars/</x:v>
      </x:c>
      <x:c r="G33" s="226" t="str">
        <x:f>A33&amp;"|"&amp;B33</x:f>
        <x:v>iRacing|Aston Martin Vantage GT3 EVO</x:v>
      </x:c>
    </x:row>
    <x:row r="34">
      <x:c r="A34" s="223" t="str">
        <x:v>iRacing</x:v>
      </x:c>
      <x:c r="B34" s="224" t="str">
        <x:v>Audi R8 LMS EVO II GT3</x:v>
      </x:c>
      <x:c r="C34" s="224" t="str">
        <x:v>GT3</x:v>
      </x:c>
      <x:c r="D34" s="225"/>
      <x:c r="E34" s="224" t="str">
        <x:v>L</x:v>
      </x:c>
      <x:c r="F34" s="224" t="str">
        <x:v>https://www.iracing.com/cars/</x:v>
      </x:c>
      <x:c r="G34" s="226" t="str">
        <x:f>A34&amp;"|"&amp;B34</x:f>
        <x:v>iRacing|Audi R8 LMS EVO II GT3</x:v>
      </x:c>
    </x:row>
    <x:row r="35">
      <x:c r="A35" s="223" t="str">
        <x:v>iRacing</x:v>
      </x:c>
      <x:c r="B35" s="224" t="str">
        <x:v>BMW M4 GT3 EVO</x:v>
      </x:c>
      <x:c r="C35" s="224" t="str">
        <x:v>GT3</x:v>
      </x:c>
      <x:c r="D35" s="225" t="n">
        <x:v>120</x:v>
      </x:c>
      <x:c r="E35" s="224" t="str">
        <x:v>L</x:v>
      </x:c>
      <x:c r="F35" s="224" t="str">
        <x:v>https://www.iracing.com/resources/user-manuals/</x:v>
      </x:c>
      <x:c r="G35" s="226" t="str">
        <x:f>A35&amp;"|"&amp;B35</x:f>
        <x:v>iRacing|BMW M4 GT3 EVO</x:v>
      </x:c>
    </x:row>
    <x:row r="36">
      <x:c r="A36" s="223" t="str">
        <x:v>iRacing</x:v>
      </x:c>
      <x:c r="B36" s="224" t="str">
        <x:v>Chevrolet Corvette Z06 GT3.R</x:v>
      </x:c>
      <x:c r="C36" s="224" t="str">
        <x:v>GT3</x:v>
      </x:c>
      <x:c r="D36" s="225"/>
      <x:c r="E36" s="224" t="str">
        <x:v>L</x:v>
      </x:c>
      <x:c r="F36" s="224" t="str">
        <x:v>https://www.iracing.com/cars/</x:v>
      </x:c>
      <x:c r="G36" s="226" t="str">
        <x:f>A36&amp;"|"&amp;B36</x:f>
        <x:v>iRacing|Chevrolet Corvette Z06 GT3.R</x:v>
      </x:c>
    </x:row>
    <x:row r="37">
      <x:c r="A37" s="223" t="str">
        <x:v>iRacing</x:v>
      </x:c>
      <x:c r="B37" s="224" t="str">
        <x:v>Ferrari 296 GT3</x:v>
      </x:c>
      <x:c r="C37" s="224" t="str">
        <x:v>GT3</x:v>
      </x:c>
      <x:c r="D37" s="225" t="n">
        <x:v>104</x:v>
      </x:c>
      <x:c r="E37" s="224" t="str">
        <x:v>L</x:v>
      </x:c>
      <x:c r="F37" s="224" t="str">
        <x:v>https://s100.iracing.com/wp-content/uploads/2024/01/Ferrari-296-GT3-V2.pdf</x:v>
      </x:c>
      <x:c r="G37" s="226" t="str">
        <x:f>A37&amp;"|"&amp;B37</x:f>
        <x:v>iRacing|Ferrari 296 GT3</x:v>
      </x:c>
    </x:row>
    <x:row r="38">
      <x:c r="A38" s="223" t="str">
        <x:v>iRacing</x:v>
      </x:c>
      <x:c r="B38" s="224" t="str">
        <x:v>Ford Mustang GT3</x:v>
      </x:c>
      <x:c r="C38" s="224" t="str">
        <x:v>GT3</x:v>
      </x:c>
      <x:c r="D38" s="225"/>
      <x:c r="E38" s="224" t="str">
        <x:v>L</x:v>
      </x:c>
      <x:c r="F38" s="224" t="str">
        <x:v>https://www.iracing.com/cars/</x:v>
      </x:c>
      <x:c r="G38" s="226" t="str">
        <x:f>A38&amp;"|"&amp;B38</x:f>
        <x:v>iRacing|Ford Mustang GT3</x:v>
      </x:c>
    </x:row>
    <x:row r="39">
      <x:c r="A39" s="223" t="str">
        <x:v>iRacing</x:v>
      </x:c>
      <x:c r="B39" s="224" t="str">
        <x:v>Lamborghini Huracan GT3 EVO</x:v>
      </x:c>
      <x:c r="C39" s="224" t="str">
        <x:v>GT3</x:v>
      </x:c>
      <x:c r="D39" s="225" t="n">
        <x:v>120</x:v>
      </x:c>
      <x:c r="E39" s="224" t="str">
        <x:v>L</x:v>
      </x:c>
      <x:c r="F39" s="224" t="str">
        <x:v>https://www.iracing.com/resources/user-manuals/</x:v>
      </x:c>
      <x:c r="G39" s="226" t="str">
        <x:f>A39&amp;"|"&amp;B39</x:f>
        <x:v>iRacing|Lamborghini Huracan GT3 EVO</x:v>
      </x:c>
    </x:row>
    <x:row r="40">
      <x:c r="A40" s="223" t="str">
        <x:v>iRacing</x:v>
      </x:c>
      <x:c r="B40" s="224" t="str">
        <x:v>McLaren 720S GT3 EVO</x:v>
      </x:c>
      <x:c r="C40" s="224" t="str">
        <x:v>GT3</x:v>
      </x:c>
      <x:c r="D40" s="225"/>
      <x:c r="E40" s="224" t="str">
        <x:v>L</x:v>
      </x:c>
      <x:c r="F40" s="224" t="str">
        <x:v>https://www.iracing.com/cars/</x:v>
      </x:c>
      <x:c r="G40" s="226" t="str">
        <x:f>A40&amp;"|"&amp;B40</x:f>
        <x:v>iRacing|McLaren 720S GT3 EVO</x:v>
      </x:c>
    </x:row>
    <x:row r="41">
      <x:c r="A41" s="223" t="str">
        <x:v>iRacing</x:v>
      </x:c>
      <x:c r="B41" s="224" t="str">
        <x:v>Mercedes-AMG GT3 2020</x:v>
      </x:c>
      <x:c r="C41" s="224" t="str">
        <x:v>GT3</x:v>
      </x:c>
      <x:c r="D41" s="225" t="n">
        <x:v>120</x:v>
      </x:c>
      <x:c r="E41" s="224" t="str">
        <x:v>L</x:v>
      </x:c>
      <x:c r="F41" s="224" t="str">
        <x:v>https://www.iracing.com/resources/user-manuals/</x:v>
      </x:c>
      <x:c r="G41" s="226" t="str">
        <x:f>A41&amp;"|"&amp;B41</x:f>
        <x:v>iRacing|Mercedes-AMG GT3 2020</x:v>
      </x:c>
    </x:row>
    <x:row r="42">
      <x:c r="A42" s="223" t="str">
        <x:v>iRacing</x:v>
      </x:c>
      <x:c r="B42" s="224" t="str">
        <x:v>Porsche 911 GT3 R (992)</x:v>
      </x:c>
      <x:c r="C42" s="224" t="str">
        <x:v>GT3</x:v>
      </x:c>
      <x:c r="D42" s="225" t="n">
        <x:v>120</x:v>
      </x:c>
      <x:c r="E42" s="224" t="str">
        <x:v>L</x:v>
      </x:c>
      <x:c r="F42" s="224" t="str">
        <x:v>https://www.iracing.com/resources/user-manuals/</x:v>
      </x:c>
      <x:c r="G42" s="226" t="str">
        <x:f>A42&amp;"|"&amp;B42</x:f>
        <x:v>iRacing|Porsche 911 GT3 R (992)</x:v>
      </x:c>
    </x:row>
    <x:row r="43">
      <x:c r="A43" s="223" t="str">
        <x:v>iRacing</x:v>
      </x:c>
      <x:c r="B43" s="224" t="str">
        <x:v>Acura ARX-06 GTP</x:v>
      </x:c>
      <x:c r="C43" s="224" t="str">
        <x:v>GTP</x:v>
      </x:c>
      <x:c r="D43" s="225"/>
      <x:c r="E43" s="224" t="str">
        <x:v>L</x:v>
      </x:c>
      <x:c r="F43" s="224" t="str">
        <x:v>https://www.iracing.com/cars/</x:v>
      </x:c>
      <x:c r="G43" s="226" t="str">
        <x:f>A43&amp;"|"&amp;B43</x:f>
        <x:v>iRacing|Acura ARX-06 GTP</x:v>
      </x:c>
    </x:row>
    <x:row r="44">
      <x:c r="A44" s="223" t="str">
        <x:v>iRacing</x:v>
      </x:c>
      <x:c r="B44" s="224" t="str">
        <x:v>BMW M Hybrid V8 Evo</x:v>
      </x:c>
      <x:c r="C44" s="224" t="str">
        <x:v>GTP</x:v>
      </x:c>
      <x:c r="D44" s="225"/>
      <x:c r="E44" s="224" t="str">
        <x:v>L</x:v>
      </x:c>
      <x:c r="F44" s="224" t="str">
        <x:v>https://www.iracing.com/cars/</x:v>
      </x:c>
      <x:c r="G44" s="226" t="str">
        <x:f>A44&amp;"|"&amp;B44</x:f>
        <x:v>iRacing|BMW M Hybrid V8 Evo</x:v>
      </x:c>
    </x:row>
    <x:row r="45">
      <x:c r="A45" s="223" t="str">
        <x:v>iRacing</x:v>
      </x:c>
      <x:c r="B45" s="224" t="str">
        <x:v>Cadillac V-Series.R GTP</x:v>
      </x:c>
      <x:c r="C45" s="224" t="str">
        <x:v>GTP</x:v>
      </x:c>
      <x:c r="D45" s="225"/>
      <x:c r="E45" s="224" t="str">
        <x:v>L</x:v>
      </x:c>
      <x:c r="F45" s="224" t="str">
        <x:v>https://www.iracing.com/cars/</x:v>
      </x:c>
      <x:c r="G45" s="226" t="str">
        <x:f>A45&amp;"|"&amp;B45</x:f>
        <x:v>iRacing|Cadillac V-Series.R GTP</x:v>
      </x:c>
    </x:row>
    <x:row r="46">
      <x:c r="A46" s="223" t="str">
        <x:v>iRacing</x:v>
      </x:c>
      <x:c r="B46" s="224" t="str">
        <x:v>Ferrari 499P</x:v>
      </x:c>
      <x:c r="C46" s="224" t="str">
        <x:v>GTP</x:v>
      </x:c>
      <x:c r="D46" s="225"/>
      <x:c r="E46" s="224" t="str">
        <x:v>L</x:v>
      </x:c>
      <x:c r="F46" s="224" t="str">
        <x:v>https://www.iracing.com/cars/</x:v>
      </x:c>
      <x:c r="G46" s="226" t="str">
        <x:f>A46&amp;"|"&amp;B46</x:f>
        <x:v>iRacing|Ferrari 499P</x:v>
      </x:c>
    </x:row>
    <x:row r="47">
      <x:c r="A47" s="223" t="str">
        <x:v>iRacing</x:v>
      </x:c>
      <x:c r="B47" s="224" t="str">
        <x:v>Porsche 963 GTP</x:v>
      </x:c>
      <x:c r="C47" s="224" t="str">
        <x:v>GTP</x:v>
      </x:c>
      <x:c r="D47" s="225"/>
      <x:c r="E47" s="224" t="str">
        <x:v>L</x:v>
      </x:c>
      <x:c r="F47" s="224" t="str">
        <x:v>https://www.iracing.com/cars/</x:v>
      </x:c>
      <x:c r="G47" s="226" t="str">
        <x:f>A47&amp;"|"&amp;B47</x:f>
        <x:v>iRacing|Porsche 963 GTP</x:v>
      </x:c>
    </x:row>
    <x:row r="48">
      <x:c r="A48" s="223" t="str">
        <x:v>iRacing</x:v>
      </x:c>
      <x:c r="B48" s="224" t="str">
        <x:v>Dallara P217 LMP2</x:v>
      </x:c>
      <x:c r="C48" s="224" t="str">
        <x:v>LMP2</x:v>
      </x:c>
      <x:c r="D48" s="225"/>
      <x:c r="E48" s="224" t="str">
        <x:v>L</x:v>
      </x:c>
      <x:c r="F48" s="224" t="str">
        <x:v>https://www.iracing.com/cars/</x:v>
      </x:c>
      <x:c r="G48" s="226" t="str">
        <x:f>A48&amp;"|"&amp;B48</x:f>
        <x:v>iRacing|Dallara P217 LMP2</x:v>
      </x:c>
    </x:row>
    <x:row r="49">
      <x:c r="A49" s="227" t="str">
        <x:v>iRacing</x:v>
      </x:c>
      <x:c r="B49" s="228" t="str">
        <x:v>Ligier JS P320</x:v>
      </x:c>
      <x:c r="C49" s="228" t="str">
        <x:v>LMP3</x:v>
      </x:c>
      <x:c r="D49" s="229"/>
      <x:c r="E49" s="228" t="str">
        <x:v>L</x:v>
      </x:c>
      <x:c r="F49" s="228" t="str">
        <x:v>https://www.iracing.com/cars/</x:v>
      </x:c>
      <x:c r="G49" s="230" t="str">
        <x:f>A49&amp;"|"&amp;B49</x:f>
        <x:v>iRacing|Ligier JS P320</x:v>
      </x:c>
    </x:row>
    <x:row r="50">
      <x:c r="A50" s="126"/>
      <x:c r="B50" s="126"/>
      <x:c r="C50" s="126"/>
      <x:c r="D50" s="126"/>
      <x:c r="E50" s="126"/>
      <x:c r="F50" s="126"/>
      <x:c r="G50" s="126"/>
    </x:row>
    <x:row r="51">
      <x:c r="A51" s="126"/>
      <x:c r="B51" s="126"/>
      <x:c r="C51" s="126"/>
      <x:c r="D51" s="126"/>
      <x:c r="E51" s="126"/>
      <x:c r="F51" s="126"/>
      <x:c r="G51" s="126"/>
    </x:row>
    <x:row r="52">
      <x:c r="A52" s="126"/>
      <x:c r="B52" s="126"/>
      <x:c r="C52" s="126"/>
      <x:c r="D52" s="126"/>
      <x:c r="E52" s="126"/>
      <x:c r="F52" s="126"/>
      <x:c r="G52" s="126"/>
    </x:row>
    <x:row r="53">
      <x:c r="A53" s="126"/>
      <x:c r="B53" s="126"/>
      <x:c r="C53" s="126"/>
      <x:c r="D53" s="126"/>
      <x:c r="E53" s="126"/>
      <x:c r="F53" s="126"/>
      <x:c r="G53" s="126"/>
    </x:row>
    <x:row r="54">
      <x:c r="A54" s="126"/>
      <x:c r="B54" s="126"/>
      <x:c r="C54" s="126"/>
      <x:c r="D54" s="126"/>
      <x:c r="E54" s="126"/>
      <x:c r="F54" s="126"/>
      <x:c r="G54" s="126"/>
    </x:row>
    <x:row r="55">
      <x:c r="A55" s="126"/>
      <x:c r="B55" s="126"/>
      <x:c r="C55" s="126"/>
      <x:c r="D55" s="126"/>
      <x:c r="E55" s="126"/>
      <x:c r="F55" s="126"/>
      <x:c r="G55" s="126"/>
    </x:row>
    <x:row r="56">
      <x:c r="A56" s="126"/>
      <x:c r="B56" s="126"/>
      <x:c r="C56" s="126"/>
      <x:c r="D56" s="126"/>
      <x:c r="E56" s="126"/>
      <x:c r="F56" s="126"/>
      <x:c r="G56" s="126"/>
    </x:row>
    <x:row r="57">
      <x:c r="A57" s="126"/>
      <x:c r="B57" s="126"/>
      <x:c r="C57" s="126"/>
      <x:c r="D57" s="126"/>
      <x:c r="E57" s="126"/>
      <x:c r="F57" s="126"/>
      <x:c r="G57" s="126"/>
    </x:row>
    <x:row r="58">
      <x:c r="A58" s="126"/>
      <x:c r="B58" s="126"/>
      <x:c r="C58" s="126"/>
      <x:c r="D58" s="126"/>
      <x:c r="E58" s="126"/>
      <x:c r="F58" s="126"/>
      <x:c r="G58" s="126"/>
    </x:row>
    <x:row r="59">
      <x:c r="A59" s="126"/>
      <x:c r="B59" s="126"/>
      <x:c r="C59" s="126"/>
      <x:c r="D59" s="126"/>
      <x:c r="E59" s="126"/>
      <x:c r="F59" s="126"/>
      <x:c r="G59" s="126"/>
    </x:row>
    <x:row r="60">
      <x:c r="A60" s="126"/>
      <x:c r="B60" s="126"/>
      <x:c r="C60" s="126"/>
      <x:c r="D60" s="126"/>
      <x:c r="E60" s="126"/>
      <x:c r="F60" s="126"/>
      <x:c r="G60" s="126"/>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92" hidden="0" customWidth="1"/>
    <x:col min="3" max="3" width="12" hidden="0" customWidth="1"/>
    <x:col min="4" max="4" width="12" hidden="0" customWidth="1"/>
    <x:col min="5" max="5" width="12" hidden="0" customWidth="1"/>
    <x:col min="6" max="6" width="12" hidden="0" customWidth="1"/>
  </x:cols>
  <x:sheetData>
    <x:row r="1">
      <x:c r="A1" s="190" t="str">
        <x:v>QUICK GUIDE</x:v>
      </x:c>
      <x:c r="B1" s="190"/>
      <x:c r="C1" s="190"/>
      <x:c r="D1" s="190"/>
      <x:c r="E1" s="190"/>
      <x:c r="F1" s="190"/>
    </x:row>
    <x:row r="2">
      <x:c r="A2" s="126"/>
      <x:c r="B2" s="126"/>
      <x:c r="C2" s="126"/>
      <x:c r="D2" s="126"/>
      <x:c r="E2" s="126"/>
      <x:c r="F2" s="126"/>
    </x:row>
    <x:row r="3">
      <x:c r="A3" s="127" t="str">
        <x:v>Step</x:v>
      </x:c>
      <x:c r="B3" s="127" t="str">
        <x:v>What to do</x:v>
      </x:c>
      <x:c r="C3" s="126"/>
      <x:c r="D3" s="126"/>
      <x:c r="E3" s="126"/>
      <x:c r="F3" s="126"/>
    </x:row>
    <x:row r="4">
      <x:c r="A4" s="191" t="n">
        <x:v>1</x:v>
      </x:c>
      <x:c r="B4" s="262" t="str">
        <x:v>Maintain the master driver list, then choose this race's event roster on Team &amp; Settings.</x:v>
      </x:c>
      <x:c r="C4" s="126"/>
      <x:c r="D4" s="126"/>
      <x:c r="E4" s="126"/>
      <x:c r="F4" s="126"/>
    </x:row>
    <x:row r="5">
      <x:c r="A5" s="193" t="n">
        <x:v>2</x:v>
      </x:c>
      <x:c r="B5" s="263" t="str">
        <x:v>Pick the sim, then pick a car from that sim's dropdown.</x:v>
      </x:c>
      <x:c r="C5" s="126"/>
      <x:c r="D5" s="126"/>
      <x:c r="E5" s="126"/>
      <x:c r="F5" s="126"/>
    </x:row>
    <x:row r="6">
      <x:c r="A6" s="193" t="n">
        <x:v>3</x:v>
      </x:c>
      <x:c r="B6" s="263" t="str">
        <x:v>Confirm the usable tank/energy in the actual race session and enter the override.</x:v>
      </x:c>
      <x:c r="C6" s="126"/>
      <x:c r="D6" s="126"/>
      <x:c r="E6" s="126"/>
      <x:c r="F6" s="126"/>
    </x:row>
    <x:row r="7">
      <x:c r="A7" s="193" t="n">
        <x:v>4</x:v>
      </x:c>
      <x:c r="B7" s="263" t="str">
        <x:v>Enter an average race lap and measured fuel per lap from a representative run.</x:v>
      </x:c>
      <x:c r="C7" s="126"/>
      <x:c r="D7" s="126"/>
      <x:c r="E7" s="126"/>
      <x:c r="F7" s="126"/>
    </x:row>
    <x:row r="8">
      <x:c r="A8" s="193" t="n">
        <x:v>5</x:v>
      </x:c>
      <x:c r="B8" s="263" t="str">
        <x:v>Set race date, local start time, race length, reserve laps, max stint and measured pit loss.</x:v>
      </x:c>
      <x:c r="C8" s="126"/>
      <x:c r="D8" s="126"/>
      <x:c r="E8" s="126"/>
      <x:c r="F8" s="126"/>
    </x:row>
    <x:row r="9">
      <x:c r="A9" s="193" t="n">
        <x:v>6</x:v>
      </x:c>
      <x:c r="B9" s="263" t="str">
        <x:v>Assign a driver and stand-by driver to each active stint row.</x:v>
      </x:c>
      <x:c r="C9" s="126"/>
      <x:c r="D9" s="126"/>
      <x:c r="E9" s="126"/>
      <x:c r="F9" s="126"/>
    </x:row>
    <x:row r="10">
      <x:c r="A10" s="195" t="n">
        <x:v>7</x:v>
      </x:c>
      <x:c r="B10" s="264" t="str">
        <x:v>Use the full date/time in Start and End to handle overnight races and date changes.</x:v>
      </x:c>
      <x:c r="C10" s="126"/>
      <x:c r="D10" s="126"/>
      <x:c r="E10" s="126"/>
      <x:c r="F10" s="126"/>
    </x:row>
    <x:row r="11">
      <x:c r="A11" s="126"/>
      <x:c r="B11" s="126"/>
      <x:c r="C11" s="126"/>
      <x:c r="D11" s="126"/>
      <x:c r="E11" s="126"/>
      <x:c r="F11" s="126"/>
    </x:row>
    <x:row r="12">
      <x:c r="A12" s="127" t="str">
        <x:v>Included from the reference workbook</x:v>
      </x:c>
      <x:c r="B12" s="127"/>
      <x:c r="C12" s="127"/>
      <x:c r="D12" s="127"/>
      <x:c r="E12" s="127"/>
      <x:c r="F12" s="127"/>
    </x:row>
    <x:row r="13">
      <x:c r="A13" s="253" t="str">
        <x:v>Driver rotation, stand-by driver, race clock conversion, reserve fuel, max stint, pit-loss allowance, driver totals, optional refuelling rate, tyre-change time and max driver time.</x:v>
      </x:c>
      <x:c r="B13" s="254"/>
      <x:c r="C13" s="254"/>
      <x:c r="D13" s="254"/>
      <x:c r="E13" s="254"/>
      <x:c r="F13" s="255"/>
    </x:row>
    <x:row r="14">
      <x:c r="A14" s="256" t="str">
        <x:v>Fuel-per-lap remains an input because it changes with track, conditions, setup, traffic and driver.</x:v>
      </x:c>
      <x:c r="B14" s="257"/>
      <x:c r="C14" s="257"/>
      <x:c r="D14" s="257"/>
      <x:c r="E14" s="257"/>
      <x:c r="F14" s="258"/>
    </x:row>
    <x:row r="15">
      <x:c r="A15" s="256" t="str">
        <x:v>LMU Spa 2026 BoP uses maximum stint energy for Hypercar/LMGT3, not a simple fuel-tank litre figure.</x:v>
      </x:c>
      <x:c r="B15" s="257"/>
      <x:c r="C15" s="257"/>
      <x:c r="D15" s="257"/>
      <x:c r="E15" s="257"/>
      <x:c r="F15" s="258"/>
    </x:row>
    <x:row r="16">
      <x:c r="A16" s="256" t="str">
        <x:v>Blank iRacing capacities mean no reliable capacity was found in the official source used—confirm the garage value and use the override.</x:v>
      </x:c>
      <x:c r="B16" s="257"/>
      <x:c r="C16" s="257"/>
      <x:c r="D16" s="257"/>
      <x:c r="E16" s="257"/>
      <x:c r="F16" s="258"/>
    </x:row>
    <x:row r="17">
      <x:c r="A17" s="256" t="str">
        <x:v>All sourced values are references only; event rules, fuel restrictions and BoP can change.</x:v>
      </x:c>
      <x:c r="B17" s="257"/>
      <x:c r="C17" s="257"/>
      <x:c r="D17" s="257"/>
      <x:c r="E17" s="257"/>
      <x:c r="F17" s="258"/>
    </x:row>
    <x:row r="18">
      <x:c r="A18" s="259" t="str">
        <x:v>Car-list sources: https://lemansultimate.com/cars/ and https://www.iracing.com/cars/</x:v>
      </x:c>
      <x:c r="B18" s="260"/>
      <x:c r="C18" s="260"/>
      <x:c r="D18" s="260"/>
      <x:c r="E18" s="260"/>
      <x:c r="F18" s="261"/>
    </x:row>
  </x:sheetData>
  <x:mergeCells>
    <x:mergeCell ref="A1:F1"/>
    <x:mergeCell ref="A12:F12"/>
    <x:mergeCell ref="A13:F13"/>
    <x:mergeCell ref="A14:F14"/>
    <x:mergeCell ref="A15:F15"/>
    <x:mergeCell ref="A16:F16"/>
    <x:mergeCell ref="A17:F17"/>
    <x:mergeCell ref="A18:F18"/>
  </x:mergeCells>
  <x:pageMargins left="0.7" right="0.7" top="0.75" bottom="0.75" header="0.3" footer="0.3"/>
</x:worksheet>
</file>